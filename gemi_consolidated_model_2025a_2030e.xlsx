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Q2-26 Bridge vs Consensus" sheetId="2" state="visible" r:id="rId2"/>
    <sheet xmlns:r="http://schemas.openxmlformats.org/officeDocument/2006/relationships" name="Prediction Market Comps" sheetId="3" state="visible" r:id="rId3"/>
    <sheet xmlns:r="http://schemas.openxmlformats.org/officeDocument/2006/relationships" name="Sources &amp; Notes" sheetId="4" state="visible" r:id="rId4"/>
  </sheets>
  <definedNames>
    <definedName name="_xlnm._FilterDatabase" localSheetId="0" hidden="1">'Model'!$A$3:$I$3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&quot; bps&quot;"/>
    <numFmt numFmtId="165" formatCode="$#,##0.0;[Red]($#,##0.0)"/>
    <numFmt numFmtId="166" formatCode="0.0%"/>
    <numFmt numFmtId="167" formatCode="#,##0.0"/>
    <numFmt numFmtId="168" formatCode="$#,##0.00;[Red]($#,##0.00)"/>
    <numFmt numFmtId="169" formatCode="0.00&quot;x&quot;"/>
    <numFmt numFmtId="170" formatCode="+0.0%;-0.0%"/>
  </numFmts>
  <fonts count="12">
    <font>
      <name val="Calibri"/>
      <family val="2"/>
      <color theme="1"/>
      <sz val="11"/>
      <scheme val="minor"/>
    </font>
    <font>
      <b val="1"/>
      <color rgb="00786DFF"/>
      <sz val="13"/>
    </font>
    <font>
      <b val="1"/>
      <color rgb="000A243F"/>
    </font>
    <font>
      <b val="1"/>
      <color rgb="00FFFFFF"/>
    </font>
    <font>
      <color rgb="004B5563"/>
    </font>
    <font>
      <i val="1"/>
      <color rgb="009CA3AF"/>
    </font>
    <font>
      <i val="1"/>
      <color rgb="004B5563"/>
    </font>
    <font>
      <i val="1"/>
      <color rgb="000A243F"/>
    </font>
    <font>
      <b val="1"/>
      <color rgb="00786DFF"/>
      <sz val="11"/>
    </font>
    <font>
      <i val="1"/>
      <color rgb="009CA3AF"/>
      <sz val="9"/>
    </font>
    <font>
      <b val="1"/>
      <color rgb="009A3412"/>
    </font>
    <font>
      <b val="1"/>
      <color rgb="00786DFF"/>
    </font>
  </fonts>
  <fills count="5">
    <fill>
      <patternFill/>
    </fill>
    <fill>
      <patternFill patternType="gray125"/>
    </fill>
    <fill>
      <patternFill patternType="solid">
        <fgColor rgb="000A243F"/>
      </patternFill>
    </fill>
    <fill>
      <patternFill patternType="solid">
        <fgColor rgb="00EEF1FF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0A243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right"/>
    </xf>
    <xf numFmtId="3" fontId="6" fillId="3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4" fontId="6" fillId="3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6" fillId="3" borderId="0" applyAlignment="1" pivotButton="0" quotePrefix="0" xfId="0">
      <alignment horizontal="right"/>
    </xf>
    <xf numFmtId="0" fontId="2" fillId="0" borderId="0" pivotButton="0" quotePrefix="0" xfId="0"/>
    <xf numFmtId="165" fontId="2" fillId="0" borderId="0" applyAlignment="1" pivotButton="0" quotePrefix="0" xfId="0">
      <alignment horizontal="right"/>
    </xf>
    <xf numFmtId="165" fontId="7" fillId="3" borderId="0" applyAlignment="1" pivotButton="0" quotePrefix="0" xfId="0">
      <alignment horizontal="right"/>
    </xf>
    <xf numFmtId="166" fontId="6" fillId="3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67" fontId="4" fillId="0" borderId="0" applyAlignment="1" pivotButton="0" quotePrefix="0" xfId="0">
      <alignment horizontal="right"/>
    </xf>
    <xf numFmtId="167" fontId="6" fillId="3" borderId="0" applyAlignment="1" pivotButton="0" quotePrefix="0" xfId="0">
      <alignment horizontal="right"/>
    </xf>
    <xf numFmtId="168" fontId="4" fillId="0" borderId="0" applyAlignment="1" pivotButton="0" quotePrefix="0" xfId="0">
      <alignment horizontal="right"/>
    </xf>
    <xf numFmtId="168" fontId="6" fillId="3" borderId="0" applyAlignment="1" pivotButton="0" quotePrefix="0" xfId="0">
      <alignment horizontal="right"/>
    </xf>
    <xf numFmtId="169" fontId="6" fillId="3" borderId="0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  <xf numFmtId="170" fontId="4" fillId="0" borderId="0" applyAlignment="1" pivotButton="0" quotePrefix="0" xfId="0">
      <alignment horizontal="right"/>
    </xf>
    <xf numFmtId="168" fontId="2" fillId="0" borderId="0" applyAlignment="1" pivotButton="0" quotePrefix="0" xfId="0">
      <alignment horizontal="right"/>
    </xf>
    <xf numFmtId="0" fontId="10" fillId="4" borderId="0" applyAlignment="1" pivotButton="0" quotePrefix="0" xfId="0">
      <alignment horizontal="left" vertical="top" wrapText="1"/>
    </xf>
    <xf numFmtId="0" fontId="11" fillId="0" borderId="0" pivotButton="0" quotePrefix="0" xfId="0"/>
    <xf numFmtId="0" fontId="4" fillId="0" borderId="0" applyAlignment="1" pivotButton="0" quotePrefix="0" xfId="0">
      <alignment horizontal="right"/>
    </xf>
    <xf numFmtId="4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Gemini share collapsing while the category accelerates</a:t>
            </a:r>
          </a:p>
        </rich>
      </tx>
    </title>
    <plotArea>
      <lineChart>
        <grouping val="standard"/>
        <ser>
          <idx val="0"/>
          <order val="0"/>
          <tx>
            <strRef>
              <f>'Prediction Market Comps'!D16</f>
            </strRef>
          </tx>
          <spPr>
            <a:ln xmlns:a="http://schemas.openxmlformats.org/drawingml/2006/main" w="25000">
              <a:solidFill>
                <a:srgbClr val="6F9ED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'Prediction Market Comps'!$A$17:$A$21</f>
            </numRef>
          </cat>
          <val>
            <numRef>
              <f>'Prediction Market Comps'!$D$17:$D$21</f>
            </numRef>
          </val>
          <smooth val="0"/>
        </ser>
        <axId val="10"/>
        <axId val="100"/>
      </lineChart>
      <barChart>
        <barDir val="col"/>
        <grouping val="clustered"/>
        <ser>
          <idx val="1"/>
          <order val="1"/>
          <tx>
            <strRef>
              <f>'Prediction Market Comps'!C16</f>
            </strRef>
          </tx>
          <spPr>
            <a:solidFill xmlns:a="http://schemas.openxmlformats.org/drawingml/2006/main">
              <a:srgbClr val="E0D6B8"/>
            </a:solidFill>
            <a:ln xmlns:a="http://schemas.openxmlformats.org/drawingml/2006/main">
              <a:prstDash val="solid"/>
            </a:ln>
          </spPr>
          <val>
            <numRef>
              <f>'Prediction Market Comps'!$C$17:$C$21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Gemini Share (bps)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Kalshi + Polymarket ($B)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Gemini Space Station, Inc. (GEMI) — Consolidated Model | Price $4.065 as of 29-Jul-2026 | USD millions except per-share</t>
        </is>
      </c>
    </row>
    <row r="2" ht="6" customHeight="1"/>
    <row r="3">
      <c r="A3" s="2" t="inlineStr">
        <is>
          <t>Line Item</t>
        </is>
      </c>
      <c r="B3" s="3" t="inlineStr">
        <is>
          <t>2023</t>
        </is>
      </c>
      <c r="C3" s="3" t="inlineStr">
        <is>
          <t>2024</t>
        </is>
      </c>
      <c r="D3" s="3" t="inlineStr">
        <is>
          <t>2025A</t>
        </is>
      </c>
      <c r="E3" s="3" t="inlineStr">
        <is>
          <t>2026E</t>
        </is>
      </c>
      <c r="F3" s="3" t="inlineStr">
        <is>
          <t>2027E</t>
        </is>
      </c>
      <c r="G3" s="3" t="inlineStr">
        <is>
          <t>2028E</t>
        </is>
      </c>
      <c r="H3" s="3" t="inlineStr">
        <is>
          <t>2029E</t>
        </is>
      </c>
      <c r="I3" s="3" t="inlineStr">
        <is>
          <t>2030E</t>
        </is>
      </c>
    </row>
    <row r="4" ht="18" customHeight="1">
      <c r="A4" s="4" t="inlineStr">
        <is>
          <t>OPERATING METRICS</t>
        </is>
      </c>
    </row>
    <row r="5">
      <c r="A5" s="5" t="inlineStr">
        <is>
          <t>Exchange Volume</t>
        </is>
      </c>
      <c r="B5" s="6" t="inlineStr">
        <is>
          <t>n/a</t>
        </is>
      </c>
      <c r="C5" s="6" t="inlineStr">
        <is>
          <t>n/a</t>
        </is>
      </c>
      <c r="D5" s="7" t="n">
        <v>52700</v>
      </c>
      <c r="E5" s="8" t="n">
        <v>16800</v>
      </c>
      <c r="F5" s="8" t="n">
        <v>24000</v>
      </c>
      <c r="G5" s="8" t="n">
        <v>30000</v>
      </c>
      <c r="H5" s="8" t="n">
        <v>34000</v>
      </c>
      <c r="I5" s="8" t="n">
        <v>38000</v>
      </c>
    </row>
    <row r="6">
      <c r="A6" s="5" t="inlineStr">
        <is>
          <t>Exchange Take Rate</t>
        </is>
      </c>
      <c r="B6" s="6" t="inlineStr">
        <is>
          <t>n/a</t>
        </is>
      </c>
      <c r="C6" s="6" t="inlineStr">
        <is>
          <t>n/a</t>
        </is>
      </c>
      <c r="D6" s="9" t="n">
        <v>17.7</v>
      </c>
      <c r="E6" s="10" t="n">
        <v>28.5</v>
      </c>
      <c r="F6" s="10" t="n">
        <v>27</v>
      </c>
      <c r="G6" s="10" t="n">
        <v>26</v>
      </c>
      <c r="H6" s="10" t="n">
        <v>25</v>
      </c>
      <c r="I6" s="10" t="n">
        <v>24</v>
      </c>
    </row>
    <row r="7">
      <c r="A7" s="5" t="inlineStr">
        <is>
          <t>Prediction Notional</t>
        </is>
      </c>
      <c r="B7" s="6" t="inlineStr">
        <is>
          <t>n/a</t>
        </is>
      </c>
      <c r="C7" s="6" t="inlineStr">
        <is>
          <t>n/a</t>
        </is>
      </c>
      <c r="D7" s="7" t="n">
        <v>3</v>
      </c>
      <c r="E7" s="8" t="n">
        <v>745</v>
      </c>
      <c r="F7" s="8" t="n">
        <v>1150</v>
      </c>
      <c r="G7" s="8" t="n">
        <v>1700</v>
      </c>
      <c r="H7" s="8" t="n">
        <v>2200</v>
      </c>
      <c r="I7" s="8" t="n">
        <v>2700</v>
      </c>
    </row>
    <row r="8">
      <c r="A8" s="5" t="inlineStr">
        <is>
          <t>Prediction Take Rate</t>
        </is>
      </c>
      <c r="B8" s="6" t="inlineStr">
        <is>
          <t>n/a</t>
        </is>
      </c>
      <c r="C8" s="6" t="inlineStr">
        <is>
          <t>n/a</t>
        </is>
      </c>
      <c r="D8" s="9" t="n">
        <v>0</v>
      </c>
      <c r="E8" s="10" t="n">
        <v>33.6</v>
      </c>
      <c r="F8" s="10" t="n">
        <v>31.3</v>
      </c>
      <c r="G8" s="10" t="n">
        <v>30</v>
      </c>
      <c r="H8" s="10" t="n">
        <v>29.1</v>
      </c>
      <c r="I8" s="10" t="n">
        <v>28.1</v>
      </c>
    </row>
    <row r="9">
      <c r="A9" s="5" t="inlineStr">
        <is>
          <t>Card Volume</t>
        </is>
      </c>
      <c r="B9" s="6" t="inlineStr">
        <is>
          <t>n/a</t>
        </is>
      </c>
      <c r="C9" s="6" t="inlineStr">
        <is>
          <t>n/a</t>
        </is>
      </c>
      <c r="D9" s="6" t="inlineStr">
        <is>
          <t>n/a</t>
        </is>
      </c>
      <c r="E9" s="8" t="n">
        <v>4300</v>
      </c>
      <c r="F9" s="8" t="n">
        <v>5500</v>
      </c>
      <c r="G9" s="8" t="n">
        <v>6800</v>
      </c>
      <c r="H9" s="8" t="n">
        <v>8000</v>
      </c>
      <c r="I9" s="8" t="n">
        <v>9200</v>
      </c>
    </row>
    <row r="10">
      <c r="A10" s="5" t="inlineStr">
        <is>
          <t>Monthly Transacting Users</t>
        </is>
      </c>
      <c r="B10" s="6" t="inlineStr">
        <is>
          <t>n/a</t>
        </is>
      </c>
      <c r="C10" s="6" t="inlineStr">
        <is>
          <t>n/a</t>
        </is>
      </c>
      <c r="D10" s="7" t="n">
        <v>601</v>
      </c>
      <c r="E10" s="8" t="n">
        <v>600</v>
      </c>
      <c r="F10" s="8" t="n">
        <v>660</v>
      </c>
      <c r="G10" s="8" t="n">
        <v>730</v>
      </c>
      <c r="H10" s="8" t="n">
        <v>800</v>
      </c>
      <c r="I10" s="8" t="n">
        <v>870</v>
      </c>
    </row>
    <row r="12" ht="18" customHeight="1">
      <c r="A12" s="4" t="inlineStr">
        <is>
          <t>REVENUE</t>
        </is>
      </c>
    </row>
    <row r="13">
      <c r="A13" s="5" t="inlineStr">
        <is>
          <t>Exchange Revenue</t>
        </is>
      </c>
      <c r="B13" s="6" t="inlineStr">
        <is>
          <t>n/a</t>
        </is>
      </c>
      <c r="C13" s="6" t="inlineStr">
        <is>
          <t>n/a</t>
        </is>
      </c>
      <c r="D13" s="11" t="n">
        <v>93.40000000000001</v>
      </c>
      <c r="E13" s="12" t="n">
        <v>47.8</v>
      </c>
      <c r="F13" s="12" t="n">
        <v>64.8</v>
      </c>
      <c r="G13" s="12" t="n">
        <v>78</v>
      </c>
      <c r="H13" s="12" t="n">
        <v>85</v>
      </c>
      <c r="I13" s="12" t="n">
        <v>91.2</v>
      </c>
    </row>
    <row r="14">
      <c r="A14" s="5" t="inlineStr">
        <is>
          <t>OTC Revenue</t>
        </is>
      </c>
      <c r="B14" s="6" t="inlineStr">
        <is>
          <t>n/a</t>
        </is>
      </c>
      <c r="C14" s="6" t="inlineStr">
        <is>
          <t>n/a</t>
        </is>
      </c>
      <c r="D14" s="11" t="n">
        <v>4</v>
      </c>
      <c r="E14" s="12" t="n">
        <v>17.6</v>
      </c>
      <c r="F14" s="12" t="n">
        <v>18</v>
      </c>
      <c r="G14" s="12" t="n">
        <v>21</v>
      </c>
      <c r="H14" s="12" t="n">
        <v>24</v>
      </c>
      <c r="I14" s="12" t="n">
        <v>27</v>
      </c>
    </row>
    <row r="15">
      <c r="A15" s="5" t="inlineStr">
        <is>
          <t>Prediction Revenue</t>
        </is>
      </c>
      <c r="B15" s="6" t="inlineStr">
        <is>
          <t>n/a</t>
        </is>
      </c>
      <c r="C15" s="6" t="inlineStr">
        <is>
          <t>n/a</t>
        </is>
      </c>
      <c r="D15" s="11" t="n">
        <v>0</v>
      </c>
      <c r="E15" s="12" t="n">
        <v>2.5</v>
      </c>
      <c r="F15" s="12" t="n">
        <v>3.6</v>
      </c>
      <c r="G15" s="12" t="n">
        <v>5.1</v>
      </c>
      <c r="H15" s="12" t="n">
        <v>6.4</v>
      </c>
      <c r="I15" s="12" t="n">
        <v>7.6</v>
      </c>
    </row>
    <row r="16">
      <c r="A16" s="5" t="inlineStr">
        <is>
          <t>Other Txn Revenue</t>
        </is>
      </c>
      <c r="B16" s="6" t="inlineStr">
        <is>
          <t>n/a</t>
        </is>
      </c>
      <c r="C16" s="6" t="inlineStr">
        <is>
          <t>n/a</t>
        </is>
      </c>
      <c r="D16" s="11" t="n">
        <v>0.6</v>
      </c>
      <c r="E16" s="12" t="n">
        <v>0.8</v>
      </c>
      <c r="F16" s="12" t="n">
        <v>0.9</v>
      </c>
      <c r="G16" s="12" t="n">
        <v>1</v>
      </c>
      <c r="H16" s="12" t="n">
        <v>1.1</v>
      </c>
      <c r="I16" s="12" t="n">
        <v>1.2</v>
      </c>
    </row>
    <row r="17">
      <c r="A17" s="13" t="inlineStr">
        <is>
          <t>Transaction Revenue</t>
        </is>
      </c>
      <c r="B17" s="6" t="inlineStr">
        <is>
          <t>n/a</t>
        </is>
      </c>
      <c r="C17" s="6" t="inlineStr">
        <is>
          <t>n/a</t>
        </is>
      </c>
      <c r="D17" s="14" t="n">
        <v>98</v>
      </c>
      <c r="E17" s="15" t="n">
        <v>68.7</v>
      </c>
      <c r="F17" s="15" t="n">
        <v>87.3</v>
      </c>
      <c r="G17" s="15" t="n">
        <v>105.1</v>
      </c>
      <c r="H17" s="15" t="n">
        <v>116.5</v>
      </c>
      <c r="I17" s="15" t="n">
        <v>127</v>
      </c>
    </row>
    <row r="18">
      <c r="A18" s="5" t="inlineStr">
        <is>
          <t>Service Revenue</t>
        </is>
      </c>
      <c r="B18" s="6" t="inlineStr">
        <is>
          <t>n/a</t>
        </is>
      </c>
      <c r="C18" s="6" t="inlineStr">
        <is>
          <t>n/a</t>
        </is>
      </c>
      <c r="D18" s="11" t="n">
        <v>64.59999999999999</v>
      </c>
      <c r="E18" s="12" t="n">
        <v>88.2</v>
      </c>
      <c r="F18" s="12" t="n">
        <v>105</v>
      </c>
      <c r="G18" s="12" t="n">
        <v>124</v>
      </c>
      <c r="H18" s="12" t="n">
        <v>148</v>
      </c>
      <c r="I18" s="12" t="n">
        <v>178</v>
      </c>
    </row>
    <row r="19">
      <c r="A19" s="5" t="inlineStr">
        <is>
          <t>Other Income</t>
        </is>
      </c>
      <c r="B19" s="6" t="inlineStr">
        <is>
          <t>n/a</t>
        </is>
      </c>
      <c r="C19" s="6" t="inlineStr">
        <is>
          <t>n/a</t>
        </is>
      </c>
      <c r="D19" s="11" t="n">
        <v>16.9</v>
      </c>
      <c r="E19" s="12" t="n">
        <v>17.2</v>
      </c>
      <c r="F19" s="12" t="n">
        <v>18</v>
      </c>
      <c r="G19" s="12" t="n">
        <v>21</v>
      </c>
      <c r="H19" s="12" t="n">
        <v>25</v>
      </c>
      <c r="I19" s="12" t="n">
        <v>30</v>
      </c>
    </row>
    <row r="20">
      <c r="A20" s="13" t="inlineStr">
        <is>
          <t>Sales</t>
        </is>
      </c>
      <c r="B20" s="6" t="inlineStr">
        <is>
          <t>n/a</t>
        </is>
      </c>
      <c r="C20" s="6" t="inlineStr">
        <is>
          <t>n/a</t>
        </is>
      </c>
      <c r="D20" s="14" t="n">
        <v>179.6</v>
      </c>
      <c r="E20" s="15" t="n">
        <v>174.1</v>
      </c>
      <c r="F20" s="15" t="n">
        <v>210.3</v>
      </c>
      <c r="G20" s="15" t="n">
        <v>250.1</v>
      </c>
      <c r="H20" s="15" t="n">
        <v>289.5</v>
      </c>
      <c r="I20" s="15" t="n">
        <v>335</v>
      </c>
    </row>
    <row r="21">
      <c r="A21" s="5" t="inlineStr">
        <is>
          <t>Sales Y/Y</t>
        </is>
      </c>
      <c r="B21" s="6" t="inlineStr">
        <is>
          <t>n/a</t>
        </is>
      </c>
      <c r="C21" s="6" t="inlineStr">
        <is>
          <t>n/a</t>
        </is>
      </c>
      <c r="D21" s="6" t="inlineStr">
        <is>
          <t>n/a</t>
        </is>
      </c>
      <c r="E21" s="16" t="n">
        <v>-0.031</v>
      </c>
      <c r="F21" s="16" t="n">
        <v>0.208</v>
      </c>
      <c r="G21" s="16" t="n">
        <v>0.189</v>
      </c>
      <c r="H21" s="16" t="n">
        <v>0.158</v>
      </c>
      <c r="I21" s="16" t="n">
        <v>0.157</v>
      </c>
    </row>
    <row r="22">
      <c r="A22" s="5" t="inlineStr">
        <is>
          <t>Prediction % of Sales</t>
        </is>
      </c>
      <c r="B22" s="6" t="inlineStr">
        <is>
          <t>n/a</t>
        </is>
      </c>
      <c r="C22" s="6" t="inlineStr">
        <is>
          <t>n/a</t>
        </is>
      </c>
      <c r="D22" s="17" t="n">
        <v>0</v>
      </c>
      <c r="E22" s="16" t="n">
        <v>0.014</v>
      </c>
      <c r="F22" s="16" t="n">
        <v>0.017</v>
      </c>
      <c r="G22" s="16" t="n">
        <v>0.02</v>
      </c>
      <c r="H22" s="16" t="n">
        <v>0.022</v>
      </c>
      <c r="I22" s="16" t="n">
        <v>0.023</v>
      </c>
    </row>
    <row r="24" ht="18" customHeight="1">
      <c r="A24" s="4" t="inlineStr">
        <is>
          <t>COSTS &amp; PROFITABILITY</t>
        </is>
      </c>
    </row>
    <row r="25">
      <c r="A25" s="5" t="inlineStr">
        <is>
          <t>Opex</t>
        </is>
      </c>
      <c r="B25" s="6" t="inlineStr">
        <is>
          <t>n/a</t>
        </is>
      </c>
      <c r="C25" s="6" t="inlineStr">
        <is>
          <t>n/a</t>
        </is>
      </c>
      <c r="D25" s="11" t="n">
        <v>525.2</v>
      </c>
      <c r="E25" s="12" t="n">
        <v>508</v>
      </c>
      <c r="F25" s="12" t="n">
        <v>495</v>
      </c>
      <c r="G25" s="12" t="n">
        <v>490</v>
      </c>
      <c r="H25" s="12" t="n">
        <v>495</v>
      </c>
      <c r="I25" s="12" t="n">
        <v>500</v>
      </c>
    </row>
    <row r="26">
      <c r="A26" s="5" t="inlineStr">
        <is>
          <t>Opex % of Sales</t>
        </is>
      </c>
      <c r="B26" s="6" t="inlineStr">
        <is>
          <t>n/a</t>
        </is>
      </c>
      <c r="C26" s="6" t="inlineStr">
        <is>
          <t>n/a</t>
        </is>
      </c>
      <c r="D26" s="17" t="n">
        <v>2.925</v>
      </c>
      <c r="E26" s="16" t="n">
        <v>2.918</v>
      </c>
      <c r="F26" s="16" t="n">
        <v>2.354</v>
      </c>
      <c r="G26" s="16" t="n">
        <v>1.959</v>
      </c>
      <c r="H26" s="16" t="n">
        <v>1.709</v>
      </c>
      <c r="I26" s="16" t="n">
        <v>1.493</v>
      </c>
    </row>
    <row r="27">
      <c r="A27" s="13" t="inlineStr">
        <is>
          <t>Operating Income</t>
        </is>
      </c>
      <c r="B27" s="6" t="inlineStr">
        <is>
          <t>n/a</t>
        </is>
      </c>
      <c r="C27" s="6" t="inlineStr">
        <is>
          <t>n/a</t>
        </is>
      </c>
      <c r="D27" s="14" t="n">
        <v>-345.7</v>
      </c>
      <c r="E27" s="15" t="n">
        <v>-333.9</v>
      </c>
      <c r="F27" s="15" t="n">
        <v>-284.7</v>
      </c>
      <c r="G27" s="15" t="n">
        <v>-239.9</v>
      </c>
      <c r="H27" s="15" t="n">
        <v>-205.5</v>
      </c>
      <c r="I27" s="15" t="n">
        <v>-165</v>
      </c>
    </row>
    <row r="28">
      <c r="A28" s="5" t="inlineStr">
        <is>
          <t>Operating Margin</t>
        </is>
      </c>
      <c r="B28" s="6" t="inlineStr">
        <is>
          <t>n/a</t>
        </is>
      </c>
      <c r="C28" s="6" t="inlineStr">
        <is>
          <t>n/a</t>
        </is>
      </c>
      <c r="D28" s="17" t="n">
        <v>-1.925</v>
      </c>
      <c r="E28" s="16" t="n">
        <v>-1.918</v>
      </c>
      <c r="F28" s="16" t="n">
        <v>-1.354</v>
      </c>
      <c r="G28" s="16" t="n">
        <v>-0.959</v>
      </c>
      <c r="H28" s="16" t="n">
        <v>-0.71</v>
      </c>
      <c r="I28" s="16" t="n">
        <v>-0.493</v>
      </c>
    </row>
    <row r="29">
      <c r="A29" s="5" t="inlineStr">
        <is>
          <t>Depreciation &amp; Amortization</t>
        </is>
      </c>
      <c r="B29" s="6" t="inlineStr">
        <is>
          <t>n/a</t>
        </is>
      </c>
      <c r="C29" s="6" t="inlineStr">
        <is>
          <t>n/a</t>
        </is>
      </c>
      <c r="D29" s="11" t="n">
        <v>30.7</v>
      </c>
      <c r="E29" s="12" t="n">
        <v>30</v>
      </c>
      <c r="F29" s="12" t="n">
        <v>32</v>
      </c>
      <c r="G29" s="12" t="n">
        <v>33</v>
      </c>
      <c r="H29" s="12" t="n">
        <v>34</v>
      </c>
      <c r="I29" s="12" t="n">
        <v>35</v>
      </c>
    </row>
    <row r="30">
      <c r="A30" s="13" t="inlineStr">
        <is>
          <t>EBITDA</t>
        </is>
      </c>
      <c r="B30" s="6" t="inlineStr">
        <is>
          <t>n/a</t>
        </is>
      </c>
      <c r="C30" s="6" t="inlineStr">
        <is>
          <t>n/a</t>
        </is>
      </c>
      <c r="D30" s="14" t="n">
        <v>-314.9</v>
      </c>
      <c r="E30" s="15" t="n">
        <v>-303.9</v>
      </c>
      <c r="F30" s="15" t="n">
        <v>-252.7</v>
      </c>
      <c r="G30" s="15" t="n">
        <v>-206.9</v>
      </c>
      <c r="H30" s="15" t="n">
        <v>-171.5</v>
      </c>
      <c r="I30" s="15" t="n">
        <v>-130</v>
      </c>
    </row>
    <row r="31">
      <c r="A31" s="5" t="inlineStr">
        <is>
          <t>Stock-Based Compensation</t>
        </is>
      </c>
      <c r="B31" s="6" t="inlineStr">
        <is>
          <t>n/a</t>
        </is>
      </c>
      <c r="C31" s="6" t="inlineStr">
        <is>
          <t>n/a</t>
        </is>
      </c>
      <c r="D31" s="11" t="n">
        <v>85</v>
      </c>
      <c r="E31" s="12" t="n">
        <v>88</v>
      </c>
      <c r="F31" s="12" t="n">
        <v>85</v>
      </c>
      <c r="G31" s="12" t="n">
        <v>82</v>
      </c>
      <c r="H31" s="12" t="n">
        <v>80</v>
      </c>
      <c r="I31" s="12" t="n">
        <v>78</v>
      </c>
    </row>
    <row r="32">
      <c r="A32" s="5" t="inlineStr">
        <is>
          <t>EBITDA ex-SBC</t>
        </is>
      </c>
      <c r="B32" s="6" t="inlineStr">
        <is>
          <t>n/a</t>
        </is>
      </c>
      <c r="C32" s="6" t="inlineStr">
        <is>
          <t>n/a</t>
        </is>
      </c>
      <c r="D32" s="11" t="n">
        <v>-230</v>
      </c>
      <c r="E32" s="12" t="n">
        <v>-215.9</v>
      </c>
      <c r="F32" s="12" t="n">
        <v>-167.7</v>
      </c>
      <c r="G32" s="12" t="n">
        <v>-124.9</v>
      </c>
      <c r="H32" s="12" t="n">
        <v>-91.5</v>
      </c>
      <c r="I32" s="12" t="n">
        <v>-52</v>
      </c>
    </row>
    <row r="33">
      <c r="A33" s="13" t="inlineStr">
        <is>
          <t>Net Income</t>
        </is>
      </c>
      <c r="B33" s="6" t="inlineStr">
        <is>
          <t>n/a</t>
        </is>
      </c>
      <c r="C33" s="6" t="inlineStr">
        <is>
          <t>n/a</t>
        </is>
      </c>
      <c r="D33" s="14" t="n">
        <v>-582.8</v>
      </c>
      <c r="E33" s="15" t="n">
        <v>-367</v>
      </c>
      <c r="F33" s="15" t="n">
        <v>-310</v>
      </c>
      <c r="G33" s="15" t="n">
        <v>-265</v>
      </c>
      <c r="H33" s="15" t="n">
        <v>-230</v>
      </c>
      <c r="I33" s="15" t="n">
        <v>-190</v>
      </c>
    </row>
    <row r="34">
      <c r="A34" s="5" t="inlineStr">
        <is>
          <t>Diluted Shares (M)</t>
        </is>
      </c>
      <c r="B34" s="6" t="inlineStr">
        <is>
          <t>n/a</t>
        </is>
      </c>
      <c r="C34" s="6" t="inlineStr">
        <is>
          <t>n/a</t>
        </is>
      </c>
      <c r="D34" s="18" t="n">
        <v>37.6</v>
      </c>
      <c r="E34" s="19" t="n">
        <v>123.6</v>
      </c>
      <c r="F34" s="19" t="n">
        <v>128</v>
      </c>
      <c r="G34" s="19" t="n">
        <v>131</v>
      </c>
      <c r="H34" s="19" t="n">
        <v>134</v>
      </c>
      <c r="I34" s="19" t="n">
        <v>137</v>
      </c>
    </row>
    <row r="35">
      <c r="A35" s="5" t="inlineStr">
        <is>
          <t>EPS</t>
        </is>
      </c>
      <c r="B35" s="6" t="inlineStr">
        <is>
          <t>n/a</t>
        </is>
      </c>
      <c r="C35" s="6" t="inlineStr">
        <is>
          <t>n/a</t>
        </is>
      </c>
      <c r="D35" s="20" t="n">
        <v>-15.52</v>
      </c>
      <c r="E35" s="21" t="n">
        <v>-2.97</v>
      </c>
      <c r="F35" s="21" t="n">
        <v>-2.42</v>
      </c>
      <c r="G35" s="21" t="n">
        <v>-2.02</v>
      </c>
      <c r="H35" s="21" t="n">
        <v>-1.72</v>
      </c>
      <c r="I35" s="21" t="n">
        <v>-1.39</v>
      </c>
    </row>
    <row r="37" ht="18" customHeight="1">
      <c r="A37" s="4" t="inlineStr">
        <is>
          <t>VALUATION</t>
        </is>
      </c>
    </row>
    <row r="38">
      <c r="A38" s="5" t="inlineStr">
        <is>
          <t>Market Cap</t>
        </is>
      </c>
      <c r="B38" s="6" t="inlineStr">
        <is>
          <t>n/a</t>
        </is>
      </c>
      <c r="C38" s="6" t="inlineStr">
        <is>
          <t>n/a</t>
        </is>
      </c>
      <c r="D38" s="6" t="inlineStr">
        <is>
          <t>n/a</t>
        </is>
      </c>
      <c r="E38" s="12" t="n">
        <v>513</v>
      </c>
      <c r="F38" s="12" t="n">
        <v>513</v>
      </c>
      <c r="G38" s="12" t="n">
        <v>513</v>
      </c>
      <c r="H38" s="12" t="n">
        <v>513</v>
      </c>
      <c r="I38" s="12" t="n">
        <v>513</v>
      </c>
    </row>
    <row r="39">
      <c r="A39" s="5" t="inlineStr">
        <is>
          <t>Net Cash / (Debt)</t>
        </is>
      </c>
      <c r="B39" s="6" t="inlineStr">
        <is>
          <t>n/a</t>
        </is>
      </c>
      <c r="C39" s="6" t="inlineStr">
        <is>
          <t>n/a</t>
        </is>
      </c>
      <c r="D39" s="6" t="inlineStr">
        <is>
          <t>n/a</t>
        </is>
      </c>
      <c r="E39" s="12" t="n">
        <v>-252.8</v>
      </c>
      <c r="F39" s="12" t="n">
        <v>-252.8</v>
      </c>
      <c r="G39" s="12" t="n">
        <v>-252.8</v>
      </c>
      <c r="H39" s="12" t="n">
        <v>-252.8</v>
      </c>
      <c r="I39" s="12" t="n">
        <v>-252.8</v>
      </c>
    </row>
    <row r="40">
      <c r="A40" s="13" t="inlineStr">
        <is>
          <t>Enterprise Value</t>
        </is>
      </c>
      <c r="B40" s="6" t="inlineStr">
        <is>
          <t>n/a</t>
        </is>
      </c>
      <c r="C40" s="6" t="inlineStr">
        <is>
          <t>n/a</t>
        </is>
      </c>
      <c r="D40" s="6" t="inlineStr">
        <is>
          <t>n/a</t>
        </is>
      </c>
      <c r="E40" s="15" t="n">
        <v>765.8</v>
      </c>
      <c r="F40" s="15" t="n">
        <v>765.8</v>
      </c>
      <c r="G40" s="15" t="n">
        <v>765.8</v>
      </c>
      <c r="H40" s="15" t="n">
        <v>765.8</v>
      </c>
      <c r="I40" s="15" t="n">
        <v>765.8</v>
      </c>
    </row>
    <row r="41">
      <c r="A41" s="5" t="inlineStr">
        <is>
          <t>EV / Sales</t>
        </is>
      </c>
      <c r="B41" s="6" t="inlineStr">
        <is>
          <t>n/a</t>
        </is>
      </c>
      <c r="C41" s="6" t="inlineStr">
        <is>
          <t>n/a</t>
        </is>
      </c>
      <c r="D41" s="6" t="inlineStr">
        <is>
          <t>n/a</t>
        </is>
      </c>
      <c r="E41" s="22" t="n">
        <v>4.4</v>
      </c>
      <c r="F41" s="22" t="n">
        <v>3.64</v>
      </c>
      <c r="G41" s="22" t="n">
        <v>3.06</v>
      </c>
      <c r="H41" s="22" t="n">
        <v>2.65</v>
      </c>
      <c r="I41" s="22" t="n">
        <v>2.29</v>
      </c>
    </row>
    <row r="44">
      <c r="A44" s="23" t="inlineStr">
        <is>
          <t>KEY MODEL RELATIONSHIPS</t>
        </is>
      </c>
    </row>
    <row r="45">
      <c r="A45" s="5" t="inlineStr">
        <is>
          <t>• Exchange Take Rate = 10,000 x Exchange Revenue / Exchange Volume (both USD millions)</t>
        </is>
      </c>
    </row>
    <row r="46">
      <c r="A46" s="5" t="inlineStr">
        <is>
          <t>• Prediction Take Rate = 10,000 x Prediction Revenue / Prediction Notional (both USD millions)</t>
        </is>
      </c>
    </row>
    <row r="47">
      <c r="A47" s="5" t="inlineStr">
        <is>
          <t>• Transaction Revenue = Exchange + OTC + Prediction + Other Txn</t>
        </is>
      </c>
    </row>
    <row r="48">
      <c r="A48" s="5" t="inlineStr">
        <is>
          <t>• Sales = Transaction Revenue + Service Revenue + Other Income</t>
        </is>
      </c>
    </row>
    <row r="49">
      <c r="A49" s="5" t="inlineStr">
        <is>
          <t>• Operating Income = Sales - Opex</t>
        </is>
      </c>
    </row>
    <row r="50">
      <c r="A50" s="5" t="inlineStr">
        <is>
          <t>• EBITDA = Operating Income + D&amp;A ; EBITDA ex-SBC = EBITDA + SBC</t>
        </is>
      </c>
    </row>
    <row r="51">
      <c r="A51" s="5" t="inlineStr">
        <is>
          <t>• Enterprise Value = Market Cap - Net Cash</t>
        </is>
      </c>
    </row>
    <row r="53">
      <c r="A53" s="24" t="inlineStr">
        <is>
          <t>Source: Artemis warehouse (GOLD.EQUITIES.FACT_EQUITIES_INTERNAL_FINANCIAL_METRICS, FACT_EQUITIES_ESTIMATES), Gemini 10-K FY2025 and 10-Q Q1 2026, as of 29-Jul-2026.</t>
        </is>
      </c>
    </row>
  </sheetData>
  <autoFilter ref="A3:I3"/>
  <mergeCells count="5">
    <mergeCell ref="A37:I37"/>
    <mergeCell ref="A1:I1"/>
    <mergeCell ref="A12:I12"/>
    <mergeCell ref="A4:I4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2" customWidth="1" min="5" max="5"/>
    <col width="42" customWidth="1" min="6" max="6"/>
  </cols>
  <sheetData>
    <row r="1" ht="22" customHeight="1">
      <c r="A1" s="1" t="inlineStr">
        <is>
          <t>GEMI Q2 2026E — bottom-up build vs consensus (quarter ended 30-Jun-2026, reports August)</t>
        </is>
      </c>
    </row>
    <row r="3">
      <c r="A3" s="2" t="inlineStr">
        <is>
          <t>Line Item</t>
        </is>
      </c>
      <c r="B3" s="3" t="inlineStr">
        <is>
          <t>Q1 2026A</t>
        </is>
      </c>
      <c r="C3" s="3" t="inlineStr">
        <is>
          <t>Q2 2026E</t>
        </is>
      </c>
      <c r="D3" s="3" t="inlineStr">
        <is>
          <t>Consensus Q2</t>
        </is>
      </c>
      <c r="E3" s="3" t="inlineStr">
        <is>
          <t>Var vs Cons</t>
        </is>
      </c>
      <c r="F3" s="3" t="inlineStr">
        <is>
          <t>Basis</t>
        </is>
      </c>
    </row>
    <row r="4">
      <c r="A4" s="5" t="inlineStr">
        <is>
          <t>Prediction Notional ($M)</t>
        </is>
      </c>
      <c r="B4" s="18" t="n">
        <v>119.3</v>
      </c>
      <c r="C4" s="18" t="n">
        <v>229.2</v>
      </c>
      <c r="D4" s="6" t="inlineStr">
        <is>
          <t>n/a</t>
        </is>
      </c>
      <c r="E4" s="6" t="inlineStr">
        <is>
          <t>n/a</t>
        </is>
      </c>
      <c r="F4" s="24" t="inlineStr">
        <is>
          <t>Measured from venue tape, +92.1% QoQ</t>
        </is>
      </c>
    </row>
    <row r="5">
      <c r="A5" s="5" t="inlineStr">
        <is>
          <t>Prediction Take Rate (bps)</t>
        </is>
      </c>
      <c r="B5" s="9" t="n">
        <v>37.2</v>
      </c>
      <c r="C5" s="9" t="n">
        <v>34</v>
      </c>
      <c r="D5" s="6" t="inlineStr">
        <is>
          <t>n/a</t>
        </is>
      </c>
      <c r="E5" s="6" t="inlineStr">
        <is>
          <t>n/a</t>
        </is>
      </c>
      <c r="F5" s="24" t="inlineStr">
        <is>
          <t>Kalshi compressed 119.5 to 102.1 bps QoQ</t>
        </is>
      </c>
    </row>
    <row r="6">
      <c r="A6" s="5" t="inlineStr">
        <is>
          <t>Prediction Revenue</t>
        </is>
      </c>
      <c r="B6" s="20" t="n">
        <v>0.44</v>
      </c>
      <c r="C6" s="20" t="n">
        <v>0.78</v>
      </c>
      <c r="D6" s="6" t="inlineStr">
        <is>
          <t>n/a</t>
        </is>
      </c>
      <c r="E6" s="6" t="inlineStr">
        <is>
          <t>n/a</t>
        </is>
      </c>
      <c r="F6" s="24" t="inlineStr">
        <is>
          <t>Range 0.69 (30 bps) to 0.87 (38 bps)</t>
        </is>
      </c>
    </row>
    <row r="7">
      <c r="A7" s="5" t="inlineStr">
        <is>
          <t>Exchange Revenue</t>
        </is>
      </c>
      <c r="B7" s="20" t="n">
        <v>17.2</v>
      </c>
      <c r="C7" s="20" t="n">
        <v>12.6</v>
      </c>
      <c r="D7" s="20" t="n">
        <v>12.36</v>
      </c>
      <c r="E7" s="25" t="n">
        <v>0.019</v>
      </c>
      <c r="F7" s="24" t="inlineStr">
        <is>
          <t>$4.5B volume x 28 bps</t>
        </is>
      </c>
    </row>
    <row r="8">
      <c r="A8" s="5" t="inlineStr">
        <is>
          <t>OTC Revenue</t>
        </is>
      </c>
      <c r="B8" s="20" t="n">
        <v>6.3</v>
      </c>
      <c r="C8" s="20" t="n">
        <v>4</v>
      </c>
      <c r="D8" s="6" t="inlineStr">
        <is>
          <t>n/a</t>
        </is>
      </c>
      <c r="E8" s="6" t="inlineStr">
        <is>
          <t>n/a</t>
        </is>
      </c>
      <c r="F8" s="24" t="inlineStr">
        <is>
          <t>Q1 spike was lumpy block flow</t>
        </is>
      </c>
    </row>
    <row r="9">
      <c r="A9" s="5" t="inlineStr">
        <is>
          <t>Other Txn Revenue</t>
        </is>
      </c>
      <c r="B9" s="20" t="n">
        <v>0.19</v>
      </c>
      <c r="C9" s="20" t="n">
        <v>0.2</v>
      </c>
      <c r="D9" s="6" t="inlineStr">
        <is>
          <t>n/a</t>
        </is>
      </c>
      <c r="E9" s="6" t="inlineStr">
        <is>
          <t>n/a</t>
        </is>
      </c>
      <c r="F9" s="24" t="inlineStr">
        <is>
          <t>Placeholder</t>
        </is>
      </c>
    </row>
    <row r="10">
      <c r="A10" s="13" t="inlineStr">
        <is>
          <t>Transaction Revenue</t>
        </is>
      </c>
      <c r="B10" s="26" t="n">
        <v>24.13</v>
      </c>
      <c r="C10" s="26" t="n">
        <v>17.58</v>
      </c>
      <c r="D10" s="26" t="n">
        <v>16.4</v>
      </c>
      <c r="E10" s="25" t="n">
        <v>0.07199999999999999</v>
      </c>
      <c r="F10" s="24" t="inlineStr">
        <is>
          <t>Gap is entirely OTC</t>
        </is>
      </c>
    </row>
    <row r="11">
      <c r="A11" s="5" t="inlineStr">
        <is>
          <t>Service Revenue</t>
        </is>
      </c>
      <c r="B11" s="20" t="n">
        <v>21.82</v>
      </c>
      <c r="C11" s="20" t="n">
        <v>21.9</v>
      </c>
      <c r="D11" s="20" t="n">
        <v>21.1</v>
      </c>
      <c r="E11" s="25" t="n">
        <v>0.038</v>
      </c>
      <c r="F11" s="24" t="inlineStr">
        <is>
          <t>Card offsets staking decay</t>
        </is>
      </c>
    </row>
    <row r="12">
      <c r="A12" s="5" t="inlineStr">
        <is>
          <t>Interest Income</t>
        </is>
      </c>
      <c r="B12" s="20" t="n">
        <v>2.64</v>
      </c>
      <c r="C12" s="20" t="n">
        <v>2.6</v>
      </c>
      <c r="D12" s="6" t="inlineStr">
        <is>
          <t>n/a</t>
        </is>
      </c>
      <c r="E12" s="6" t="inlineStr">
        <is>
          <t>n/a</t>
        </is>
      </c>
      <c r="F12" s="24" t="inlineStr">
        <is>
          <t>Corporate cash</t>
        </is>
      </c>
    </row>
    <row r="13">
      <c r="A13" s="13" t="inlineStr">
        <is>
          <t>Net Revenue</t>
        </is>
      </c>
      <c r="B13" s="26" t="n">
        <v>48.58</v>
      </c>
      <c r="C13" s="26" t="n">
        <v>42.08</v>
      </c>
      <c r="D13" s="26" t="n">
        <v>41.55</v>
      </c>
      <c r="E13" s="25" t="n">
        <v>0.013</v>
      </c>
      <c r="F13" s="24" t="inlineStr"/>
    </row>
    <row r="14">
      <c r="A14" s="5" t="inlineStr">
        <is>
          <t>Other Revenue</t>
        </is>
      </c>
      <c r="B14" s="20" t="n">
        <v>1.69</v>
      </c>
      <c r="C14" s="20" t="n">
        <v>1.7</v>
      </c>
      <c r="D14" s="6" t="inlineStr">
        <is>
          <t>n/a</t>
        </is>
      </c>
      <c r="E14" s="6" t="inlineStr">
        <is>
          <t>n/a</t>
        </is>
      </c>
      <c r="F14" s="24" t="inlineStr"/>
    </row>
    <row r="15">
      <c r="A15" s="13" t="inlineStr">
        <is>
          <t>Total Revenue</t>
        </is>
      </c>
      <c r="B15" s="26" t="n">
        <v>50.27</v>
      </c>
      <c r="C15" s="26" t="n">
        <v>43.78</v>
      </c>
      <c r="D15" s="26" t="n">
        <v>42.84</v>
      </c>
      <c r="E15" s="25" t="n">
        <v>0.022</v>
      </c>
      <c r="F15" s="24" t="inlineStr">
        <is>
          <t>6 analysts, 29-Jul-2026</t>
        </is>
      </c>
    </row>
    <row r="16">
      <c r="A16" s="5" t="inlineStr">
        <is>
          <t>GAAP Opex</t>
        </is>
      </c>
      <c r="B16" s="20" t="n">
        <v>144.46</v>
      </c>
      <c r="C16" s="20" t="n">
        <v>124</v>
      </c>
      <c r="D16" s="6" t="inlineStr">
        <is>
          <t>n/a</t>
        </is>
      </c>
      <c r="E16" s="6" t="inlineStr">
        <is>
          <t>n/a</t>
        </is>
      </c>
      <c r="F16" s="24" t="inlineStr">
        <is>
          <t>Restructuring and legal fade</t>
        </is>
      </c>
    </row>
    <row r="17">
      <c r="A17" s="13" t="inlineStr">
        <is>
          <t>Operating Income</t>
        </is>
      </c>
      <c r="B17" s="26" t="n">
        <v>-94.19</v>
      </c>
      <c r="C17" s="26" t="n">
        <v>-80.22</v>
      </c>
      <c r="D17" s="6" t="inlineStr">
        <is>
          <t>n/a</t>
        </is>
      </c>
      <c r="E17" s="6" t="inlineStr">
        <is>
          <t>n/a</t>
        </is>
      </c>
      <c r="F17" s="24" t="inlineStr"/>
    </row>
    <row r="18">
      <c r="A18" s="5" t="inlineStr">
        <is>
          <t>Non-Operating ex-Crypto Marks</t>
        </is>
      </c>
      <c r="B18" s="20" t="n">
        <v>-3.87</v>
      </c>
      <c r="C18" s="20" t="n">
        <v>-6</v>
      </c>
      <c r="D18" s="6" t="inlineStr">
        <is>
          <t>n/a</t>
        </is>
      </c>
      <c r="E18" s="6" t="inlineStr">
        <is>
          <t>n/a</t>
        </is>
      </c>
      <c r="F18" s="24" t="inlineStr">
        <is>
          <t>Interest net of investment income</t>
        </is>
      </c>
    </row>
    <row r="19">
      <c r="A19" s="13" t="inlineStr">
        <is>
          <t>Net Loss ex-Crypto Marks</t>
        </is>
      </c>
      <c r="B19" s="26" t="n">
        <v>-98.06</v>
      </c>
      <c r="C19" s="26" t="n">
        <v>-86.22</v>
      </c>
      <c r="D19" s="26" t="n">
        <v>-86.86</v>
      </c>
      <c r="E19" s="25" t="n">
        <v>0.007</v>
      </c>
      <c r="F19" s="24" t="inlineStr">
        <is>
          <t>Tax held at zero</t>
        </is>
      </c>
    </row>
    <row r="20">
      <c r="A20" s="5" t="inlineStr">
        <is>
          <t>Diluted Shares (M)</t>
        </is>
      </c>
      <c r="B20" s="18" t="n">
        <v>116.6</v>
      </c>
      <c r="C20" s="18" t="n">
        <v>126</v>
      </c>
      <c r="D20" s="18" t="n">
        <v>125.9</v>
      </c>
      <c r="E20" s="6" t="inlineStr">
        <is>
          <t>n/a</t>
        </is>
      </c>
      <c r="F20" s="24" t="inlineStr"/>
    </row>
    <row r="21">
      <c r="A21" s="5" t="inlineStr">
        <is>
          <t>EPS ex-Crypto Marks</t>
        </is>
      </c>
      <c r="B21" s="20" t="n">
        <v>-0.84</v>
      </c>
      <c r="C21" s="20" t="n">
        <v>-0.68</v>
      </c>
      <c r="D21" s="20" t="n">
        <v>-0.6899999999999999</v>
      </c>
      <c r="E21" s="25" t="n">
        <v>0.014</v>
      </c>
      <c r="F21" s="24" t="inlineStr">
        <is>
          <t>2 decimals, do not round</t>
        </is>
      </c>
    </row>
    <row r="23">
      <c r="A23" s="23" t="inlineStr">
        <is>
          <t>SCENARIOS</t>
        </is>
      </c>
    </row>
    <row r="24">
      <c r="A24" s="2" t="inlineStr">
        <is>
          <t>Scenario</t>
        </is>
      </c>
      <c r="B24" s="3" t="inlineStr">
        <is>
          <t>Revenue</t>
        </is>
      </c>
      <c r="C24" s="3" t="inlineStr">
        <is>
          <t>GAAP Opex</t>
        </is>
      </c>
      <c r="D24" s="3" t="inlineStr">
        <is>
          <t>Net Loss</t>
        </is>
      </c>
      <c r="E24" s="3" t="inlineStr">
        <is>
          <t>EPS</t>
        </is>
      </c>
    </row>
    <row r="25">
      <c r="A25" s="5" t="inlineStr">
        <is>
          <t>Bear</t>
        </is>
      </c>
      <c r="B25" s="11" t="n">
        <v>39.4</v>
      </c>
      <c r="C25" s="11" t="n">
        <v>128</v>
      </c>
      <c r="D25" s="11" t="n">
        <v>-95.59999999999999</v>
      </c>
      <c r="E25" s="20" t="n">
        <v>-0.76</v>
      </c>
    </row>
    <row r="26">
      <c r="A26" s="5" t="inlineStr">
        <is>
          <t>Base</t>
        </is>
      </c>
      <c r="B26" s="11" t="n">
        <v>43.8</v>
      </c>
      <c r="C26" s="11" t="n">
        <v>124</v>
      </c>
      <c r="D26" s="11" t="n">
        <v>-86.2</v>
      </c>
      <c r="E26" s="20" t="n">
        <v>-0.68</v>
      </c>
    </row>
    <row r="27">
      <c r="A27" s="5" t="inlineStr">
        <is>
          <t>Bull</t>
        </is>
      </c>
      <c r="B27" s="11" t="n">
        <v>47.7</v>
      </c>
      <c r="C27" s="11" t="n">
        <v>121</v>
      </c>
      <c r="D27" s="11" t="n">
        <v>-78.3</v>
      </c>
      <c r="E27" s="20" t="n">
        <v>-0.62</v>
      </c>
    </row>
    <row r="29">
      <c r="A29" s="27" t="inlineStr">
        <is>
          <t>⚠ GAAP EPS will include crypto mark-to-market, which is unforecastable. Q1 2026 carried a -$101M gross swing on crypto assets partly offset by +$90M on crypto loans payable, netting -$10.9M or about -$0.09 per share. Consensus implicitly assumes zero marks. Reported GAAP EPS can differ from these figures by dollars with no operational change.</t>
        </is>
      </c>
    </row>
    <row r="30"/>
    <row r="31"/>
    <row r="32"/>
    <row r="34">
      <c r="A34" s="24" t="inlineStr">
        <is>
          <t>Source: Artemis warehouse equities tables and CEX OHLCV tape; Gemini 10-Q Q1 2026. Consensus dated 29-Jul-2026.</t>
        </is>
      </c>
    </row>
  </sheetData>
  <mergeCells count="2">
    <mergeCell ref="A1:F1"/>
    <mergeCell ref="A29:F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20" customWidth="1" min="4" max="4"/>
  </cols>
  <sheetData>
    <row r="1" ht="22" customHeight="1">
      <c r="A1" s="1" t="inlineStr">
        <is>
          <t>Prediction market venue comparison — volume and take rate</t>
        </is>
      </c>
    </row>
    <row r="3">
      <c r="A3" s="28" t="inlineStr">
        <is>
          <t>TABLE A — Quarterly volume (USD millions, $1-face notional)</t>
        </is>
      </c>
    </row>
    <row r="4">
      <c r="A4" s="2" t="inlineStr">
        <is>
          <t>Venue</t>
        </is>
      </c>
      <c r="B4" s="3" t="inlineStr">
        <is>
          <t>Q1 2026</t>
        </is>
      </c>
      <c r="C4" s="3" t="inlineStr">
        <is>
          <t>Q2 2026</t>
        </is>
      </c>
      <c r="D4" s="3" t="inlineStr">
        <is>
          <t>QoQ Growth</t>
        </is>
      </c>
    </row>
    <row r="5">
      <c r="A5" s="5" t="inlineStr">
        <is>
          <t>Kalshi</t>
        </is>
      </c>
      <c r="B5" s="7" t="n">
        <v>33022</v>
      </c>
      <c r="C5" s="7" t="n">
        <v>65721</v>
      </c>
      <c r="D5" s="25" t="n">
        <v>0.99</v>
      </c>
    </row>
    <row r="6">
      <c r="A6" s="5" t="inlineStr">
        <is>
          <t>Polymarket</t>
        </is>
      </c>
      <c r="B6" s="7" t="n">
        <v>27147</v>
      </c>
      <c r="C6" s="7" t="n">
        <v>33759</v>
      </c>
      <c r="D6" s="25" t="n">
        <v>0.244</v>
      </c>
    </row>
    <row r="7">
      <c r="A7" s="5" t="inlineStr">
        <is>
          <t>Gemini</t>
        </is>
      </c>
      <c r="B7" s="7" t="n">
        <v>119</v>
      </c>
      <c r="C7" s="7" t="n">
        <v>229</v>
      </c>
      <c r="D7" s="25" t="n">
        <v>0.921</v>
      </c>
    </row>
    <row r="9">
      <c r="A9" s="28" t="inlineStr">
        <is>
          <t>TABLE B — Take rate (fees / volume, basis points)</t>
        </is>
      </c>
    </row>
    <row r="10">
      <c r="A10" s="2" t="inlineStr">
        <is>
          <t>Venue</t>
        </is>
      </c>
      <c r="B10" s="3" t="inlineStr">
        <is>
          <t>Q1 2026</t>
        </is>
      </c>
      <c r="C10" s="3" t="inlineStr">
        <is>
          <t>Q2 2026</t>
        </is>
      </c>
      <c r="D10" s="3" t="inlineStr">
        <is>
          <t>Change</t>
        </is>
      </c>
    </row>
    <row r="11">
      <c r="A11" s="5" t="inlineStr">
        <is>
          <t>Kalshi</t>
        </is>
      </c>
      <c r="B11" s="9" t="n">
        <v>119.5</v>
      </c>
      <c r="C11" s="9" t="n">
        <v>102.1</v>
      </c>
      <c r="D11" s="29" t="inlineStr">
        <is>
          <t>-14.6%</t>
        </is>
      </c>
    </row>
    <row r="12">
      <c r="A12" s="5" t="inlineStr">
        <is>
          <t>Polymarket</t>
        </is>
      </c>
      <c r="B12" s="9" t="n">
        <v>5.8</v>
      </c>
      <c r="C12" s="9" t="n">
        <v>44.5</v>
      </c>
      <c r="D12" s="29" t="inlineStr">
        <is>
          <t>monetization turned on</t>
        </is>
      </c>
    </row>
    <row r="13">
      <c r="A13" s="5" t="inlineStr">
        <is>
          <t>Gemini</t>
        </is>
      </c>
      <c r="B13" s="9" t="n">
        <v>37.2</v>
      </c>
      <c r="C13" s="29" t="inlineStr">
        <is>
          <t>34.0 (est)</t>
        </is>
      </c>
      <c r="D13" s="29" t="inlineStr">
        <is>
          <t>-8.6% est</t>
        </is>
      </c>
    </row>
    <row r="15">
      <c r="A15" s="28" t="inlineStr">
        <is>
          <t>TABLE C — Gemini share of three-venue notional, days 1-15 of each month (like-for-like)</t>
        </is>
      </c>
    </row>
    <row r="16">
      <c r="A16" s="2" t="inlineStr">
        <is>
          <t>Month</t>
        </is>
      </c>
      <c r="B16" s="3" t="inlineStr">
        <is>
          <t>Gemini Volume ($M)</t>
        </is>
      </c>
      <c r="C16" s="3" t="inlineStr">
        <is>
          <t>Kalshi + Polymarket ($B)</t>
        </is>
      </c>
      <c r="D16" s="3" t="inlineStr">
        <is>
          <t>Gemini Share (bps)</t>
        </is>
      </c>
    </row>
    <row r="17">
      <c r="A17" s="5" t="inlineStr">
        <is>
          <t>Mar 2026</t>
        </is>
      </c>
      <c r="B17" s="18" t="n">
        <v>20</v>
      </c>
      <c r="C17" s="30" t="n">
        <v>11.57</v>
      </c>
      <c r="D17" s="9" t="n">
        <v>17.28</v>
      </c>
    </row>
    <row r="18">
      <c r="A18" s="5" t="inlineStr">
        <is>
          <t>Apr 2026</t>
        </is>
      </c>
      <c r="B18" s="18" t="n">
        <v>20.6</v>
      </c>
      <c r="C18" s="30" t="n">
        <v>12.37</v>
      </c>
      <c r="D18" s="9" t="n">
        <v>16.64</v>
      </c>
    </row>
    <row r="19">
      <c r="A19" s="5" t="inlineStr">
        <is>
          <t>May 2026</t>
        </is>
      </c>
      <c r="B19" s="18" t="n">
        <v>45.6</v>
      </c>
      <c r="C19" s="30" t="n">
        <v>12.5</v>
      </c>
      <c r="D19" s="9" t="n">
        <v>36.35</v>
      </c>
    </row>
    <row r="20">
      <c r="A20" s="5" t="inlineStr">
        <is>
          <t>Jun 2026</t>
        </is>
      </c>
      <c r="B20" s="18" t="n">
        <v>36.9</v>
      </c>
      <c r="C20" s="30" t="n">
        <v>17.98</v>
      </c>
      <c r="D20" s="9" t="n">
        <v>20.46</v>
      </c>
    </row>
    <row r="21">
      <c r="A21" s="5" t="inlineStr">
        <is>
          <t>Jul 2026</t>
        </is>
      </c>
      <c r="B21" s="18" t="n">
        <v>27.2</v>
      </c>
      <c r="C21" s="30" t="n">
        <v>29.28</v>
      </c>
      <c r="D21" s="9" t="n">
        <v>9.289999999999999</v>
      </c>
    </row>
    <row r="42">
      <c r="A42" s="31" t="inlineStr">
        <is>
          <t>In the first half of July, Gemini prediction volume fell 26% versus June while Kalshi and Polymarket combined grew 63%. This is share loss into an accelerating category, not World Cup seasonality. Gemini's Q2 print will still look strong (+92.1% QoQ, share up from 19.8 to 23.0 bps on a full-quarter basis), so the risk sits in the Q3 guide rather than the Q2 result.</t>
        </is>
      </c>
    </row>
    <row r="43"/>
    <row r="44"/>
    <row r="46">
      <c r="A46" s="24" t="inlineStr">
        <is>
          <t>Source: Artemis warehouse — ez_kalshi_metrics, ez_polymarket_metrics, ez_gemini_predictions_metrics. Gemini feed current through 15-Jul-2026; Kalshi and Polymarket through 28-Jul-2026.</t>
        </is>
      </c>
    </row>
  </sheetData>
  <mergeCells count="2">
    <mergeCell ref="A1:E1"/>
    <mergeCell ref="A42:D4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 ht="22" customHeight="1">
      <c r="A1" s="1" t="inlineStr">
        <is>
          <t>Sources &amp; Notes</t>
        </is>
      </c>
    </row>
    <row r="3">
      <c r="A3" s="2" t="inlineStr">
        <is>
          <t>#</t>
        </is>
      </c>
      <c r="B3" s="3" t="inlineStr">
        <is>
          <t>Source detail</t>
        </is>
      </c>
    </row>
    <row r="4" ht="45" customHeight="1">
      <c r="A4" s="5" t="n">
        <v>1</v>
      </c>
      <c r="B4" s="31" t="inlineStr">
        <is>
          <t>Gemini FY2025 10-K revenue disaggregation — transaction revenue $98.020M (exchange $93.426M, OTC $4.013M, other $0.581M), service revenue $64.639M, total revenue $179.572M. As of FY2025.</t>
        </is>
      </c>
    </row>
    <row r="5" ht="45" customHeight="1">
      <c r="A5" s="5" t="n">
        <v>2</v>
      </c>
      <c r="B5" s="31" t="inlineStr">
        <is>
          <t>Gemini Q1 2026 10-Q — prediction market revenue $444,000 (XBRL line, not the rounded $0.4M in IR materials); exchange $17.2M; OTC $6.325M; total revenue $50.272M; operating expenses $144.460M. As of Q1 2026.</t>
        </is>
      </c>
    </row>
    <row r="6" ht="45" customHeight="1">
      <c r="A6" s="5" t="n">
        <v>3</v>
      </c>
      <c r="B6" s="31" t="inlineStr">
        <is>
          <t>Artemis warehouse GOLD.EQUITIES.FACT_EQUITIES_INTERNAL_FINANCIAL_METRICS — FY2025 opex $525.228M, operating income -$345.656M, net income -$582.813M, diluted EPS -$15.52, D&amp;A $30.723M, SBC $84.956M, FCF -$220.088M. As of 29-Jul-2026.</t>
        </is>
      </c>
    </row>
    <row r="7" ht="45" customHeight="1">
      <c r="A7" s="5" t="n">
        <v>4</v>
      </c>
      <c r="B7" s="31" t="inlineStr">
        <is>
          <t>Artemis warehouse GOLD.EQUITIES.FACT_EQUITIES_ESTIMATES — consensus dated 29-Jul-2026: Q2 2026 revenue $42.84M / EPS -$0.690; FY2026 revenue $193.18M / EPS -$2.897; FY2030 revenue $394.15M / EPS -$1.775.</t>
        </is>
      </c>
    </row>
    <row r="8" ht="45" customHeight="1">
      <c r="A8" s="5" t="n">
        <v>5</v>
      </c>
      <c r="B8" s="31" t="inlineStr">
        <is>
          <t>Artemis warehouse PC_DBT_DB.PROD.fact_centralized_exchange_ohlcv_cleaned — Gemini spot quote volume Q4 2025 $10.52B, Q1 2026 $6.485B, Q2 2026 $4.403B, Jul 1-28 2026 $0.782B. Calibrates to reported trading volume at 1.09x and 0.97x. As of 28-Jul-2026.</t>
        </is>
      </c>
    </row>
    <row r="9" ht="45" customHeight="1">
      <c r="A9" s="5" t="n">
        <v>6</v>
      </c>
      <c r="B9" s="31" t="inlineStr">
        <is>
          <t>Artemis warehouse RESULTS.EZ_METRICS.ez_gemini_predictions_metrics — built from Gemini Titan's CFTC Rule 16.01 public Market Data file. Coverage 15-Dec-2025 to 15-Jul-2026.</t>
        </is>
      </c>
    </row>
    <row r="10" ht="45" customHeight="1">
      <c r="A10" s="5" t="n">
        <v>7</v>
      </c>
      <c r="B10" s="31" t="inlineStr">
        <is>
          <t>Artemis warehouse ez_kalshi_metrics and ez_polymarket_metrics — volume and fees. As of 28-Jul-2026.</t>
        </is>
      </c>
    </row>
    <row r="11" ht="45" customHeight="1">
      <c r="A11" s="5" t="n">
        <v>8</v>
      </c>
      <c r="B11" s="31" t="inlineStr">
        <is>
          <t>Robinhood Q2 2026 results, reported 29-Jul-2026 — revenue $1.31B, EPS $0.62, crypto revenue $100M (-38% YoY), crypto notional $40B, event contracts 13.6B, prediction markets revenue $156M.</t>
        </is>
      </c>
    </row>
    <row r="13">
      <c r="A13" s="23" t="inlineStr">
        <is>
          <t>MODEL CAVEATS</t>
        </is>
      </c>
    </row>
    <row r="14" ht="40" customHeight="1">
      <c r="A14" s="31" t="inlineStr">
        <is>
          <t>• FY2023 and FY2024 are n/a throughout. Gemini IPO'd in 2025; no audited annual data exists before that. This is a one-historical-column model.</t>
        </is>
      </c>
    </row>
    <row r="15" ht="40" customHeight="1">
      <c r="A15" s="31" t="inlineStr">
        <is>
          <t>• FY2026 Sales of $174.1M sits about 10% below consensus of $193.2M. The entire gap is Q3, which is marked to the July exchange and prediction tape rather than to the consensus assumption of sequential acceleration.</t>
        </is>
      </c>
    </row>
    <row r="16" ht="40" customHeight="1">
      <c r="A16" s="31" t="inlineStr">
        <is>
          <t>• Net Cash is held flat at -$252.8M across all forecast years on a funding-neutral assumption. FY2025 FCF was -$220M, so this is the weakest assumption in the model and should be replaced with a full cash-flow schedule before any liquidity conclusion is drawn.</t>
        </is>
      </c>
    </row>
    <row r="17" ht="40" customHeight="1">
      <c r="A17" s="31" t="inlineStr">
        <is>
          <t>• Market Cap is held flat at the current $513M with no price assumption, so forward EV/Sales reads as the multiple the market pays today for each forecast year's revenue.</t>
        </is>
      </c>
    </row>
    <row r="18" ht="40" customHeight="1">
      <c r="A18" s="31" t="inlineStr">
        <is>
          <t>• All Net Income and EPS figures exclude crypto mark-to-market.</t>
        </is>
      </c>
    </row>
    <row r="19" ht="40" customHeight="1">
      <c r="A19" s="31" t="inlineStr">
        <is>
          <t>• Two warehouse data-quality issues were identified and corrected: GEMI Q1 2025 adjusted EBITDA is stored as -$59,925,000,000 (a 1,000x scale error) and Q2 2025 D&amp;A as $7,534,000,000 (same error). Neither corrupted figure is used in this model; the clean FY-level values were used instead.</t>
        </is>
      </c>
    </row>
    <row r="20" ht="40" customHeight="1">
      <c r="A20" s="31" t="inlineStr">
        <is>
          <t>• The warehouse field retail_trading_volume for Q1 2026 is tagged $6.3B but reconciles as TOTAL trading volume (institutional $5.0B plus retail ~$1.3B). Verified against Q3 2025 ($14.6B + $1.8B = $16.4B reported) and Q4 2025 ($9.9B + $1.6B = $11.5B reported). Do not double count.</t>
        </is>
      </c>
    </row>
  </sheetData>
  <mergeCells count="9">
    <mergeCell ref="A20:B20"/>
    <mergeCell ref="A16:B16"/>
    <mergeCell ref="A15:B15"/>
    <mergeCell ref="A19:B19"/>
    <mergeCell ref="A13:B13"/>
    <mergeCell ref="A14:B14"/>
    <mergeCell ref="A1:B1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2026-07-30T00:59:34Z</dcterms:created>
  <dcterms:modified xmlns:dcterms="http://purl.org/dc/terms/" xmlns:xsi="http://www.w3.org/2001/XMLSchema-instance" xsi:type="dcterms:W3CDTF">2026-07-30T00:59:34Z</dcterms:modified>
</cp:coreProperties>
</file>