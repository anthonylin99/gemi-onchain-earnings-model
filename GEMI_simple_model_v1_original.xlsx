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  <sheet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(#,##0)"/>
    <numFmt numFmtId="165" formatCode="$#,##0;[Red]($#,##0)"/>
    <numFmt numFmtId="166" formatCode="0.0%;[Red](0.0%)"/>
    <numFmt numFmtId="167" formatCode="0.0&quot;x&quot;;[Red](0.0&quot;x&quot;)"/>
    <numFmt numFmtId="168" formatCode="0.0%;(0.0%)"/>
  </numFmts>
  <fonts count="5">
    <font>
      <name val="Calibri"/>
      <family val="2"/>
      <color theme="1"/>
      <sz val="11"/>
      <scheme val="minor"/>
    </font>
    <font>
      <b val="1"/>
    </font>
    <font>
      <i val="1"/>
    </font>
    <font>
      <b val="1"/>
      <color rgb="000000FF"/>
    </font>
    <font>
      <color rgb="000000EE"/>
      <u val="single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/>
      <right/>
      <top style="thin"/>
      <bottom/>
    </border>
    <border>
      <left/>
      <right/>
      <top/>
      <bottom style="thin"/>
    </border>
    <border>
      <left style="thin"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right"/>
    </xf>
    <xf numFmtId="164" fontId="0" fillId="0" borderId="0" pivotButton="0" quotePrefix="0" xfId="0"/>
    <xf numFmtId="164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4" fontId="0" fillId="0" borderId="0" applyAlignment="1" pivotButton="0" quotePrefix="0" xfId="0">
      <alignment horizontal="right"/>
    </xf>
    <xf numFmtId="167" fontId="0" fillId="0" borderId="0" pivotButton="0" quotePrefix="0" xfId="0"/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6" fontId="0" fillId="0" borderId="0" pivotButton="0" quotePrefix="0" xfId="0"/>
    <xf numFmtId="0" fontId="1" fillId="0" borderId="3" pivotButton="0" quotePrefix="0" xfId="0"/>
    <xf numFmtId="0" fontId="0" fillId="0" borderId="1" pivotButton="0" quotePrefix="0" xfId="0"/>
    <xf numFmtId="0" fontId="0" fillId="0" borderId="4" pivotButton="0" quotePrefix="0" xfId="0"/>
    <xf numFmtId="0" fontId="1" fillId="0" borderId="5" pivotButton="0" quotePrefix="0" xfId="0"/>
    <xf numFmtId="0" fontId="1" fillId="0" borderId="6" applyAlignment="1" pivotButton="0" quotePrefix="0" xfId="0">
      <alignment horizontal="right"/>
    </xf>
    <xf numFmtId="167" fontId="3" fillId="0" borderId="0" pivotButton="0" quotePrefix="0" xfId="0"/>
    <xf numFmtId="168" fontId="0" fillId="0" borderId="0" pivotButton="0" quotePrefix="0" xfId="0"/>
    <xf numFmtId="166" fontId="0" fillId="0" borderId="6" pivotButton="0" quotePrefix="0" xfId="0"/>
    <xf numFmtId="0" fontId="1" fillId="0" borderId="7" pivotButton="0" quotePrefix="0" xfId="0"/>
    <xf numFmtId="165" fontId="0" fillId="0" borderId="2" pivotButton="0" quotePrefix="0" xfId="0"/>
    <xf numFmtId="167" fontId="3" fillId="0" borderId="2" pivotButton="0" quotePrefix="0" xfId="0"/>
    <xf numFmtId="168" fontId="0" fillId="0" borderId="2" pivotButton="0" quotePrefix="0" xfId="0"/>
    <xf numFmtId="166" fontId="0" fillId="0" borderId="8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2055592/000205559226000026/R60.htm" TargetMode="External" Id="rId1" /><Relationship Type="http://schemas.openxmlformats.org/officeDocument/2006/relationships/hyperlink" Target="https://www.sec.gov/Archives/edgar/data/2055592/000205559226000050/R50.ht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Gemini Space Station, Inc. (GEMI) — $4.065 USD</t>
        </is>
      </c>
    </row>
    <row r="3">
      <c r="B3" s="2" t="inlineStr">
        <is>
          <t>2023</t>
        </is>
      </c>
      <c r="C3" s="2" t="inlineStr">
        <is>
          <t>2024</t>
        </is>
      </c>
      <c r="D3" s="2" t="inlineStr">
        <is>
          <t>2025</t>
        </is>
      </c>
      <c r="E3" s="3" t="inlineStr">
        <is>
          <t>2026</t>
        </is>
      </c>
      <c r="F3" s="3" t="inlineStr">
        <is>
          <t>2027</t>
        </is>
      </c>
      <c r="G3" s="3" t="inlineStr">
        <is>
          <t>2028</t>
        </is>
      </c>
      <c r="H3" s="3" t="inlineStr">
        <is>
          <t>2029</t>
        </is>
      </c>
      <c r="I3" s="3" t="inlineStr">
        <is>
          <t>2030</t>
        </is>
      </c>
      <c r="L3" s="2" t="inlineStr">
        <is>
          <t>2023</t>
        </is>
      </c>
      <c r="M3" s="2" t="inlineStr">
        <is>
          <t>2024</t>
        </is>
      </c>
      <c r="N3" s="2" t="inlineStr">
        <is>
          <t>2025</t>
        </is>
      </c>
      <c r="O3" s="3" t="inlineStr">
        <is>
          <t>2026</t>
        </is>
      </c>
      <c r="P3" s="3" t="inlineStr">
        <is>
          <t>2027</t>
        </is>
      </c>
      <c r="Q3" s="3" t="inlineStr">
        <is>
          <t>2028</t>
        </is>
      </c>
      <c r="R3" s="3" t="inlineStr">
        <is>
          <t>2029</t>
        </is>
      </c>
      <c r="S3" s="3" t="inlineStr">
        <is>
          <t>2030</t>
        </is>
      </c>
    </row>
    <row r="4">
      <c r="A4" s="1" t="inlineStr">
        <is>
          <t>Exchange volume</t>
        </is>
      </c>
      <c r="B4" s="4" t="n"/>
      <c r="C4" s="4" t="n"/>
      <c r="D4" s="4" t="n">
        <v>52.7</v>
      </c>
      <c r="E4" s="5" t="n">
        <v>16.8</v>
      </c>
      <c r="F4" s="5" t="n">
        <v>24</v>
      </c>
      <c r="G4" s="5" t="n">
        <v>30</v>
      </c>
      <c r="H4" s="5" t="n">
        <v>34</v>
      </c>
      <c r="I4" s="5" t="n">
        <v>38</v>
      </c>
      <c r="K4" s="1" t="inlineStr">
        <is>
          <t>Market Cap</t>
        </is>
      </c>
      <c r="L4" s="6" t="n"/>
      <c r="M4" s="6" t="n"/>
      <c r="N4" s="6" t="n"/>
      <c r="O4" s="7" t="n">
        <v>513</v>
      </c>
      <c r="P4" s="7" t="n">
        <v>513</v>
      </c>
      <c r="Q4" s="7" t="n">
        <v>513</v>
      </c>
      <c r="R4" s="7" t="n">
        <v>513</v>
      </c>
      <c r="S4" s="7" t="n">
        <v>513</v>
      </c>
    </row>
    <row r="5">
      <c r="A5" t="inlineStr">
        <is>
          <t xml:space="preserve">  Exchange take rate</t>
        </is>
      </c>
      <c r="B5" s="8" t="inlineStr">
        <is>
          <t>—</t>
        </is>
      </c>
      <c r="C5" s="8" t="inlineStr">
        <is>
          <t>—</t>
        </is>
      </c>
      <c r="D5" s="8" t="inlineStr">
        <is>
          <t>—</t>
        </is>
      </c>
      <c r="E5" s="8" t="inlineStr">
        <is>
          <t>—</t>
        </is>
      </c>
      <c r="F5" s="8" t="inlineStr">
        <is>
          <t>—</t>
        </is>
      </c>
      <c r="G5" s="8" t="inlineStr">
        <is>
          <t>—</t>
        </is>
      </c>
      <c r="H5" s="8" t="inlineStr">
        <is>
          <t>—</t>
        </is>
      </c>
      <c r="I5" s="8" t="inlineStr">
        <is>
          <t>—</t>
        </is>
      </c>
      <c r="K5" s="1" t="inlineStr">
        <is>
          <t>Net Cash</t>
        </is>
      </c>
      <c r="L5" s="6" t="n"/>
      <c r="M5" s="6" t="n"/>
      <c r="N5" s="6" t="n"/>
      <c r="O5" s="7" t="n">
        <v>-252.8</v>
      </c>
      <c r="P5" s="7" t="n">
        <v>-252.8</v>
      </c>
      <c r="Q5" s="7" t="n">
        <v>-252.8</v>
      </c>
      <c r="R5" s="7" t="n">
        <v>-252.8</v>
      </c>
      <c r="S5" s="7" t="n">
        <v>-252.8</v>
      </c>
    </row>
    <row r="6">
      <c r="A6" s="1" t="inlineStr">
        <is>
          <t>Prediction notional</t>
        </is>
      </c>
      <c r="B6" s="4" t="n"/>
      <c r="C6" s="4" t="n"/>
      <c r="D6" s="4" t="n">
        <v>2.8</v>
      </c>
      <c r="E6" s="5" t="n">
        <v>745</v>
      </c>
      <c r="F6" s="5" t="n">
        <v>1150</v>
      </c>
      <c r="G6" s="5" t="n">
        <v>1700</v>
      </c>
      <c r="H6" s="5" t="n">
        <v>2200</v>
      </c>
      <c r="I6" s="5" t="n">
        <v>2700</v>
      </c>
      <c r="K6" s="1" t="inlineStr">
        <is>
          <t>EV</t>
        </is>
      </c>
      <c r="L6" s="6">
        <f>L4-L5</f>
        <v/>
      </c>
      <c r="M6" s="6">
        <f>M4-M5</f>
        <v/>
      </c>
      <c r="N6" s="6">
        <f>N4-N5</f>
        <v/>
      </c>
      <c r="O6" s="6">
        <f>O4-O5</f>
        <v/>
      </c>
      <c r="P6" s="6">
        <f>P4-P5</f>
        <v/>
      </c>
      <c r="Q6" s="6">
        <f>Q4-Q5</f>
        <v/>
      </c>
      <c r="R6" s="6">
        <f>R4-R5</f>
        <v/>
      </c>
      <c r="S6" s="6">
        <f>S4-S5</f>
        <v/>
      </c>
    </row>
    <row r="7">
      <c r="A7" t="inlineStr">
        <is>
          <t xml:space="preserve">  Prediction take rate</t>
        </is>
      </c>
      <c r="B7" s="8" t="inlineStr">
        <is>
          <t>—</t>
        </is>
      </c>
      <c r="C7" s="8" t="inlineStr">
        <is>
          <t>—</t>
        </is>
      </c>
      <c r="D7" s="8" t="inlineStr">
        <is>
          <t>—</t>
        </is>
      </c>
      <c r="E7" s="8" t="inlineStr">
        <is>
          <t>—</t>
        </is>
      </c>
      <c r="F7" s="8" t="inlineStr">
        <is>
          <t>—</t>
        </is>
      </c>
      <c r="G7" s="8" t="inlineStr">
        <is>
          <t>—</t>
        </is>
      </c>
      <c r="H7" s="8" t="inlineStr">
        <is>
          <t>—</t>
        </is>
      </c>
      <c r="I7" s="8" t="inlineStr">
        <is>
          <t>—</t>
        </is>
      </c>
      <c r="K7" t="inlineStr">
        <is>
          <t xml:space="preserve">  EV / Sales</t>
        </is>
      </c>
      <c r="L7" s="9">
        <f>L6/B18</f>
        <v/>
      </c>
      <c r="M7" s="9">
        <f>M6/C18</f>
        <v/>
      </c>
      <c r="N7" s="9">
        <f>N6/D18</f>
        <v/>
      </c>
      <c r="O7" s="9">
        <f>O6/E18</f>
        <v/>
      </c>
      <c r="P7" s="9">
        <f>P6/F18</f>
        <v/>
      </c>
      <c r="Q7" s="9">
        <f>Q6/G18</f>
        <v/>
      </c>
      <c r="R7" s="9">
        <f>R6/H18</f>
        <v/>
      </c>
      <c r="S7" s="9">
        <f>S6/I18</f>
        <v/>
      </c>
    </row>
    <row r="8">
      <c r="A8" s="1" t="inlineStr">
        <is>
          <t>Card volume</t>
        </is>
      </c>
      <c r="B8" s="4" t="n"/>
      <c r="C8" s="4" t="n"/>
      <c r="D8" s="4" t="n"/>
      <c r="E8" s="5" t="n">
        <v>4.3</v>
      </c>
      <c r="F8" s="5" t="n">
        <v>5.5</v>
      </c>
      <c r="G8" s="5" t="n">
        <v>6.8</v>
      </c>
      <c r="H8" s="5" t="n">
        <v>8</v>
      </c>
      <c r="I8" s="5" t="n">
        <v>9.199999999999999</v>
      </c>
    </row>
    <row r="9">
      <c r="A9" s="1" t="inlineStr">
        <is>
          <t>Monthly transacting users</t>
        </is>
      </c>
      <c r="B9" s="4" t="n"/>
      <c r="C9" s="4" t="n"/>
      <c r="D9" s="4" t="n">
        <v>601</v>
      </c>
      <c r="E9" s="5" t="n">
        <v>600</v>
      </c>
      <c r="F9" s="5" t="n">
        <v>660</v>
      </c>
      <c r="G9" s="5" t="n">
        <v>730</v>
      </c>
      <c r="H9" s="5" t="n">
        <v>800</v>
      </c>
      <c r="I9" s="5" t="n">
        <v>870</v>
      </c>
    </row>
    <row r="11">
      <c r="A11" s="1" t="inlineStr">
        <is>
          <t>Exchange revenue</t>
        </is>
      </c>
      <c r="B11" s="6" t="n"/>
      <c r="C11" s="6" t="n"/>
      <c r="D11" s="6" t="n">
        <v>93.426</v>
      </c>
      <c r="E11" s="7" t="n">
        <v>47.8</v>
      </c>
      <c r="F11" s="7" t="n">
        <v>64.8</v>
      </c>
      <c r="G11" s="7" t="n">
        <v>78</v>
      </c>
      <c r="H11" s="7" t="n">
        <v>85</v>
      </c>
      <c r="I11" s="7" t="n">
        <v>91.2</v>
      </c>
    </row>
    <row r="12">
      <c r="A12" s="1" t="inlineStr">
        <is>
          <t>OTC revenue</t>
        </is>
      </c>
      <c r="B12" s="6" t="n"/>
      <c r="C12" s="6" t="n"/>
      <c r="D12" s="6" t="n">
        <v>4.013</v>
      </c>
      <c r="E12" s="7" t="n">
        <v>17.6</v>
      </c>
      <c r="F12" s="7" t="n">
        <v>18</v>
      </c>
      <c r="G12" s="7" t="n">
        <v>21</v>
      </c>
      <c r="H12" s="7" t="n">
        <v>24</v>
      </c>
      <c r="I12" s="7" t="n">
        <v>27</v>
      </c>
    </row>
    <row r="13">
      <c r="A13" s="1" t="inlineStr">
        <is>
          <t>Prediction revenue</t>
        </is>
      </c>
      <c r="B13" s="6" t="n"/>
      <c r="C13" s="6" t="n"/>
      <c r="D13" s="6" t="n">
        <v>0</v>
      </c>
      <c r="E13" s="7" t="n">
        <v>2.5</v>
      </c>
      <c r="F13" s="7" t="n">
        <v>3.6</v>
      </c>
      <c r="G13" s="7" t="n">
        <v>5.1</v>
      </c>
      <c r="H13" s="7" t="n">
        <v>6.4</v>
      </c>
      <c r="I13" s="7" t="n">
        <v>7.6</v>
      </c>
    </row>
    <row r="14">
      <c r="A14" s="1" t="inlineStr">
        <is>
          <t>Other transaction revenue</t>
        </is>
      </c>
      <c r="B14" s="6" t="n"/>
      <c r="C14" s="6" t="n"/>
      <c r="D14" s="6" t="n">
        <v>0.581</v>
      </c>
      <c r="E14" s="7" t="n">
        <v>0.8</v>
      </c>
      <c r="F14" s="7" t="n">
        <v>0.9</v>
      </c>
      <c r="G14" s="7" t="n">
        <v>1</v>
      </c>
      <c r="H14" s="7" t="n">
        <v>1.1</v>
      </c>
      <c r="I14" s="7" t="n">
        <v>1.2</v>
      </c>
    </row>
    <row r="15">
      <c r="A15" s="1" t="inlineStr">
        <is>
          <t>Transaction revenue</t>
        </is>
      </c>
      <c r="B15" s="10" t="inlineStr">
        <is>
          <t>—</t>
        </is>
      </c>
      <c r="C15" s="10" t="inlineStr">
        <is>
          <t>—</t>
        </is>
      </c>
      <c r="D15" s="10" t="inlineStr">
        <is>
          <t>—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  <c r="H15" s="10" t="inlineStr">
        <is>
          <t>—</t>
        </is>
      </c>
      <c r="I15" s="10" t="inlineStr">
        <is>
          <t>—</t>
        </is>
      </c>
    </row>
    <row r="16">
      <c r="A16" s="1" t="inlineStr">
        <is>
          <t>Service revenue</t>
        </is>
      </c>
      <c r="B16" s="6" t="n"/>
      <c r="C16" s="6" t="n"/>
      <c r="D16" s="6" t="n">
        <v>64.639</v>
      </c>
      <c r="E16" s="7" t="n">
        <v>88.2</v>
      </c>
      <c r="F16" s="7" t="n">
        <v>105</v>
      </c>
      <c r="G16" s="7" t="n">
        <v>124</v>
      </c>
      <c r="H16" s="7" t="n">
        <v>148</v>
      </c>
      <c r="I16" s="7" t="n">
        <v>178</v>
      </c>
    </row>
    <row r="17">
      <c r="A17" s="1" t="inlineStr">
        <is>
          <t>Other income</t>
        </is>
      </c>
      <c r="B17" s="6" t="n"/>
      <c r="C17" s="6" t="n"/>
      <c r="D17" s="6" t="n">
        <v>16.913</v>
      </c>
      <c r="E17" s="7" t="n">
        <v>17.2</v>
      </c>
      <c r="F17" s="7" t="n">
        <v>18</v>
      </c>
      <c r="G17" s="7" t="n">
        <v>21</v>
      </c>
      <c r="H17" s="7" t="n">
        <v>25</v>
      </c>
      <c r="I17" s="7" t="n">
        <v>30</v>
      </c>
    </row>
    <row r="18">
      <c r="A18" s="1" t="inlineStr">
        <is>
          <t>Sales</t>
        </is>
      </c>
      <c r="B18" s="10" t="inlineStr">
        <is>
          <t>—</t>
        </is>
      </c>
      <c r="C18" s="10" t="inlineStr">
        <is>
          <t>—</t>
        </is>
      </c>
      <c r="D18" s="10" t="inlineStr">
        <is>
          <t>—</t>
        </is>
      </c>
      <c r="E18" s="10" t="inlineStr">
        <is>
          <t>—</t>
        </is>
      </c>
      <c r="F18" s="10" t="inlineStr">
        <is>
          <t>—</t>
        </is>
      </c>
      <c r="G18" s="10" t="inlineStr">
        <is>
          <t>—</t>
        </is>
      </c>
      <c r="H18" s="10" t="inlineStr">
        <is>
          <t>—</t>
        </is>
      </c>
      <c r="I18" s="10" t="inlineStr">
        <is>
          <t>—</t>
        </is>
      </c>
    </row>
    <row r="19">
      <c r="A19" t="inlineStr">
        <is>
          <t xml:space="preserve">  Sales Y/Y</t>
        </is>
      </c>
      <c r="B19" s="11" t="inlineStr">
        <is>
          <t>—</t>
        </is>
      </c>
      <c r="C19" s="12">
        <f>(C18-B18)/B18</f>
        <v/>
      </c>
      <c r="D19" s="12">
        <f>(D18-C18)/C18</f>
        <v/>
      </c>
      <c r="E19" s="12">
        <f>(E18-D18)/D18</f>
        <v/>
      </c>
      <c r="F19" s="12">
        <f>(F18-E18)/E18</f>
        <v/>
      </c>
      <c r="G19" s="12">
        <f>(G18-F18)/F18</f>
        <v/>
      </c>
      <c r="H19" s="12">
        <f>(H18-G18)/G18</f>
        <v/>
      </c>
      <c r="I19" s="12">
        <f>(I18-H18)/H18</f>
        <v/>
      </c>
    </row>
    <row r="20">
      <c r="A20" t="inlineStr">
        <is>
          <t xml:space="preserve">  Prediction % of Sales</t>
        </is>
      </c>
      <c r="B20" s="11" t="inlineStr">
        <is>
          <t>—</t>
        </is>
      </c>
      <c r="C20" s="11" t="inlineStr">
        <is>
          <t>—</t>
        </is>
      </c>
      <c r="D20" s="11" t="inlineStr">
        <is>
          <t>—</t>
        </is>
      </c>
      <c r="E20" s="11" t="inlineStr">
        <is>
          <t>—</t>
        </is>
      </c>
      <c r="F20" s="11" t="inlineStr">
        <is>
          <t>—</t>
        </is>
      </c>
      <c r="G20" s="11" t="inlineStr">
        <is>
          <t>—</t>
        </is>
      </c>
      <c r="H20" s="11" t="inlineStr">
        <is>
          <t>—</t>
        </is>
      </c>
      <c r="I20" s="11" t="inlineStr">
        <is>
          <t>—</t>
        </is>
      </c>
    </row>
    <row r="21">
      <c r="A21" s="1" t="inlineStr">
        <is>
          <t>Opex</t>
        </is>
      </c>
      <c r="B21" s="6" t="n"/>
      <c r="C21" s="6" t="n"/>
      <c r="D21" s="6" t="n">
        <v>525.228</v>
      </c>
      <c r="E21" s="7" t="n">
        <v>508</v>
      </c>
      <c r="F21" s="7" t="n">
        <v>495</v>
      </c>
      <c r="G21" s="7" t="n">
        <v>490</v>
      </c>
      <c r="H21" s="7" t="n">
        <v>495</v>
      </c>
      <c r="I21" s="7" t="n">
        <v>500</v>
      </c>
    </row>
    <row r="22">
      <c r="A22" t="inlineStr">
        <is>
          <t xml:space="preserve">  Opex %</t>
        </is>
      </c>
      <c r="B22" s="12">
        <f>B21/B18</f>
        <v/>
      </c>
      <c r="C22" s="12">
        <f>C21/C18</f>
        <v/>
      </c>
      <c r="D22" s="12">
        <f>D21/D18</f>
        <v/>
      </c>
      <c r="E22" s="12">
        <f>E21/E18</f>
        <v/>
      </c>
      <c r="F22" s="12">
        <f>F21/F18</f>
        <v/>
      </c>
      <c r="G22" s="12">
        <f>G21/G18</f>
        <v/>
      </c>
      <c r="H22" s="12">
        <f>H21/H18</f>
        <v/>
      </c>
      <c r="I22" s="12">
        <f>I21/I18</f>
        <v/>
      </c>
    </row>
    <row r="23">
      <c r="A23" s="1" t="inlineStr">
        <is>
          <t>EBIT</t>
        </is>
      </c>
      <c r="B23" s="6">
        <f>B18-B21</f>
        <v/>
      </c>
      <c r="C23" s="6">
        <f>C18-C21</f>
        <v/>
      </c>
      <c r="D23" s="6">
        <f>D18-D21</f>
        <v/>
      </c>
      <c r="E23" s="6">
        <f>E18-E21</f>
        <v/>
      </c>
      <c r="F23" s="6">
        <f>F18-F21</f>
        <v/>
      </c>
      <c r="G23" s="6">
        <f>G18-G21</f>
        <v/>
      </c>
      <c r="H23" s="6">
        <f>H18-H21</f>
        <v/>
      </c>
      <c r="I23" s="6">
        <f>I18-I21</f>
        <v/>
      </c>
    </row>
    <row r="24">
      <c r="A24" t="inlineStr">
        <is>
          <t xml:space="preserve">  EBIT %</t>
        </is>
      </c>
      <c r="B24" s="12">
        <f>B23/B18</f>
        <v/>
      </c>
      <c r="C24" s="12">
        <f>C23/C18</f>
        <v/>
      </c>
      <c r="D24" s="12">
        <f>D23/D18</f>
        <v/>
      </c>
      <c r="E24" s="12">
        <f>E23/E18</f>
        <v/>
      </c>
      <c r="F24" s="12">
        <f>F23/F18</f>
        <v/>
      </c>
      <c r="G24" s="12">
        <f>G23/G18</f>
        <v/>
      </c>
      <c r="H24" s="12">
        <f>H23/H18</f>
        <v/>
      </c>
      <c r="I24" s="12">
        <f>I23/I18</f>
        <v/>
      </c>
    </row>
    <row r="25">
      <c r="A25" s="1" t="inlineStr">
        <is>
          <t>Depreciation</t>
        </is>
      </c>
      <c r="B25" s="6" t="n"/>
      <c r="C25" s="6" t="n"/>
      <c r="D25" s="6" t="n">
        <v>30.723</v>
      </c>
      <c r="E25" s="7" t="n">
        <v>30</v>
      </c>
      <c r="F25" s="7" t="n">
        <v>32</v>
      </c>
      <c r="G25" s="7" t="n">
        <v>33</v>
      </c>
      <c r="H25" s="7" t="n">
        <v>34</v>
      </c>
      <c r="I25" s="7" t="n">
        <v>35</v>
      </c>
    </row>
    <row r="26">
      <c r="A26" s="1" t="inlineStr">
        <is>
          <t>EBITDA</t>
        </is>
      </c>
      <c r="B26" s="6">
        <f>B23+B25</f>
        <v/>
      </c>
      <c r="C26" s="6">
        <f>C23+C25</f>
        <v/>
      </c>
      <c r="D26" s="6">
        <f>D23+D25</f>
        <v/>
      </c>
      <c r="E26" s="6">
        <f>E23+E25</f>
        <v/>
      </c>
      <c r="F26" s="6">
        <f>F23+F25</f>
        <v/>
      </c>
      <c r="G26" s="6">
        <f>G23+G25</f>
        <v/>
      </c>
      <c r="H26" s="6">
        <f>H23+H25</f>
        <v/>
      </c>
      <c r="I26" s="6">
        <f>I23+I25</f>
        <v/>
      </c>
    </row>
    <row r="27">
      <c r="A27" s="1" t="inlineStr">
        <is>
          <t>SBC</t>
        </is>
      </c>
      <c r="B27" s="6" t="n"/>
      <c r="C27" s="6" t="n"/>
      <c r="D27" s="6" t="n">
        <v>84.956</v>
      </c>
      <c r="E27" s="7" t="n">
        <v>88</v>
      </c>
      <c r="F27" s="7" t="n">
        <v>85</v>
      </c>
      <c r="G27" s="7" t="n">
        <v>82</v>
      </c>
      <c r="H27" s="7" t="n">
        <v>80</v>
      </c>
      <c r="I27" s="7" t="n">
        <v>78</v>
      </c>
    </row>
    <row r="28">
      <c r="A28" t="inlineStr">
        <is>
          <t xml:space="preserve">  EBITDA ex SBC</t>
        </is>
      </c>
      <c r="B28" s="6">
        <f>B26+B27</f>
        <v/>
      </c>
      <c r="C28" s="6">
        <f>C26+C27</f>
        <v/>
      </c>
      <c r="D28" s="6">
        <f>D26+D27</f>
        <v/>
      </c>
      <c r="E28" s="6">
        <f>E26+E27</f>
        <v/>
      </c>
      <c r="F28" s="6">
        <f>F26+F27</f>
        <v/>
      </c>
      <c r="G28" s="6">
        <f>G26+G27</f>
        <v/>
      </c>
      <c r="H28" s="6">
        <f>H26+H27</f>
        <v/>
      </c>
      <c r="I28" s="6">
        <f>I26+I27</f>
        <v/>
      </c>
    </row>
    <row r="29">
      <c r="A29" s="1" t="inlineStr">
        <is>
          <t>Net Income</t>
        </is>
      </c>
      <c r="B29" s="6" t="n"/>
      <c r="C29" s="6" t="n"/>
      <c r="D29" s="6" t="n">
        <v>-582.813</v>
      </c>
      <c r="E29" s="7" t="n">
        <v>-367</v>
      </c>
      <c r="F29" s="7" t="n">
        <v>-310</v>
      </c>
      <c r="G29" s="7" t="n">
        <v>-265</v>
      </c>
      <c r="H29" s="7" t="n">
        <v>-230</v>
      </c>
      <c r="I29" s="7" t="n">
        <v>-190</v>
      </c>
    </row>
    <row r="30">
      <c r="A30" s="1" t="inlineStr">
        <is>
          <t>EPS</t>
        </is>
      </c>
      <c r="B30" s="4" t="n"/>
      <c r="C30" s="4" t="n"/>
      <c r="D30" s="4" t="n">
        <v>-15.52</v>
      </c>
      <c r="E30" s="5" t="n">
        <v>-2.97</v>
      </c>
      <c r="F30" s="5" t="n">
        <v>-2.42</v>
      </c>
      <c r="G30" s="5" t="n">
        <v>-2.02</v>
      </c>
      <c r="H30" s="5" t="n">
        <v>-1.72</v>
      </c>
      <c r="I30" s="5" t="n">
        <v>-1.39</v>
      </c>
    </row>
    <row r="33">
      <c r="K33" s="13" t="inlineStr">
        <is>
          <t>Scenarios — Revenue (EV / Sales)</t>
        </is>
      </c>
      <c r="L33" s="14" t="n"/>
      <c r="M33" s="14" t="n"/>
      <c r="N33" s="14" t="n"/>
      <c r="O33" s="14" t="n"/>
      <c r="P33" s="15" t="n"/>
    </row>
    <row r="34">
      <c r="K34" s="16" t="inlineStr">
        <is>
          <t>Scenario</t>
        </is>
      </c>
      <c r="L34" s="2" t="inlineStr">
        <is>
          <t>2030 Value</t>
        </is>
      </c>
      <c r="M34" s="2" t="inlineStr">
        <is>
          <t>Multiple</t>
        </is>
      </c>
      <c r="N34" s="2" t="inlineStr">
        <is>
          <t>Implied EV</t>
        </is>
      </c>
      <c r="O34" s="2" t="inlineStr">
        <is>
          <t>Ups/Downs</t>
        </is>
      </c>
      <c r="P34" s="17" t="inlineStr">
        <is>
          <t>CAGR</t>
        </is>
      </c>
    </row>
    <row r="35">
      <c r="K35" s="16" t="inlineStr">
        <is>
          <t>Bull</t>
        </is>
      </c>
      <c r="L35" s="6" t="n">
        <v>470</v>
      </c>
      <c r="M35" s="18" t="n">
        <v>5</v>
      </c>
      <c r="N35" s="6">
        <f>L35*M35</f>
        <v/>
      </c>
      <c r="O35" s="19">
        <f>(N35/N6)-1</f>
        <v/>
      </c>
      <c r="P35" s="20">
        <f>(L35/D18)^(1/5)-1</f>
        <v/>
      </c>
    </row>
    <row r="36">
      <c r="K36" s="16" t="inlineStr">
        <is>
          <t>Base</t>
        </is>
      </c>
      <c r="L36" s="6" t="n">
        <v>335</v>
      </c>
      <c r="M36" s="18" t="n">
        <v>3</v>
      </c>
      <c r="N36" s="6">
        <f>L36*M36</f>
        <v/>
      </c>
      <c r="O36" s="19">
        <f>(N36/N6)-1</f>
        <v/>
      </c>
      <c r="P36" s="20">
        <f>(L36/D18)^(1/5)-1</f>
        <v/>
      </c>
    </row>
    <row r="37">
      <c r="K37" s="21" t="inlineStr">
        <is>
          <t>Bear</t>
        </is>
      </c>
      <c r="L37" s="22" t="n">
        <v>210</v>
      </c>
      <c r="M37" s="23" t="n">
        <v>1.75</v>
      </c>
      <c r="N37" s="22">
        <f>L37*M37</f>
        <v/>
      </c>
      <c r="O37" s="24">
        <f>(N37/N6)-1</f>
        <v/>
      </c>
      <c r="P37" s="25">
        <f>(L37/D18)^(1/5)-1</f>
        <v/>
      </c>
    </row>
    <row r="40">
      <c r="K40" s="13" t="inlineStr">
        <is>
          <t>Scenarios — EPS (P / E)</t>
        </is>
      </c>
      <c r="L40" s="14" t="n"/>
      <c r="M40" s="14" t="n"/>
      <c r="N40" s="14" t="n"/>
      <c r="O40" s="14" t="n"/>
      <c r="P40" s="15" t="n"/>
    </row>
    <row r="41">
      <c r="K41" s="16" t="inlineStr">
        <is>
          <t>Scenario</t>
        </is>
      </c>
      <c r="L41" s="2" t="inlineStr">
        <is>
          <t>2030 Value</t>
        </is>
      </c>
      <c r="M41" s="2" t="inlineStr">
        <is>
          <t>Multiple</t>
        </is>
      </c>
      <c r="N41" s="2" t="inlineStr">
        <is>
          <t>Implied Price</t>
        </is>
      </c>
      <c r="O41" s="2" t="inlineStr">
        <is>
          <t>Ups/Downs</t>
        </is>
      </c>
      <c r="P41" s="17" t="inlineStr">
        <is>
          <t>CAGR</t>
        </is>
      </c>
    </row>
    <row r="42">
      <c r="K42" s="16" t="inlineStr">
        <is>
          <t>Bull</t>
        </is>
      </c>
      <c r="L42" s="6" t="n">
        <v>0.2</v>
      </c>
      <c r="M42" s="18" t="n">
        <v>35</v>
      </c>
      <c r="N42" s="6">
        <f>L42*M42</f>
        <v/>
      </c>
      <c r="O42" s="19">
        <f>(N42/4.065)-1</f>
        <v/>
      </c>
      <c r="P42" s="20">
        <f>(L42/D30)^(1/5)-1</f>
        <v/>
      </c>
    </row>
    <row r="43">
      <c r="K43" s="16" t="inlineStr">
        <is>
          <t>Base</t>
        </is>
      </c>
      <c r="L43" s="6" t="n">
        <v>-1.39</v>
      </c>
      <c r="M43" s="18" t="n">
        <v>0</v>
      </c>
      <c r="N43" s="6">
        <f>L43*M43</f>
        <v/>
      </c>
      <c r="O43" s="19">
        <f>(N43/4.065)-1</f>
        <v/>
      </c>
      <c r="P43" s="20">
        <f>(L43/D30)^(1/5)-1</f>
        <v/>
      </c>
    </row>
    <row r="44">
      <c r="K44" s="21" t="inlineStr">
        <is>
          <t>Bear</t>
        </is>
      </c>
      <c r="L44" s="22" t="n">
        <v>-2.6</v>
      </c>
      <c r="M44" s="23" t="n">
        <v>0</v>
      </c>
      <c r="N44" s="22">
        <f>L44*M44</f>
        <v/>
      </c>
      <c r="O44" s="24">
        <f>(N44/4.065)-1</f>
        <v/>
      </c>
      <c r="P44" s="25">
        <f>(L44/D30)^(1/5)-1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url</t>
        </is>
      </c>
      <c r="D1" s="1" t="inlineStr">
        <is>
          <t>excerpt</t>
        </is>
      </c>
    </row>
    <row r="2">
      <c r="A2" t="inlineStr">
        <is>
          <t>src_wh_fy2025_pl</t>
        </is>
      </c>
      <c r="B2" t="inlineStr">
        <is>
          <t>warehouse</t>
        </is>
      </c>
      <c r="C2" t="inlineStr"/>
      <c r="D2" s="26" t="inlineStr">
        <is>
          <t>GOLD.EQUITIES.FACT_EQUITIES_INTERNAL_FINANCIAL_METRICS, GEMI FY2025 actuals: total_revenue $179.572M, operating_expenses $525.228M, operating_income -$345.656M, net_income -$582.813M, diluted_eps -$15.52, diluted_shares 37.552M, depreciation_and_amortization $30.723M, stock_based_compensation $84.956M, investment_income_interest $11.434M, cash_from_operations -$218.108M, fcf -$220.088M.</t>
        </is>
      </c>
    </row>
    <row r="3">
      <c r="A3" t="inlineStr">
        <is>
          <t>src_wh_fy2025_segments</t>
        </is>
      </c>
      <c r="B3" t="inlineStr">
        <is>
          <t>10-K</t>
        </is>
      </c>
      <c r="C3" s="27" t="inlineStr">
        <is>
          <t>https://www.sec.gov/Archives/edgar/data/2055592/000205559226000026/R60.htm</t>
        </is>
      </c>
      <c r="D3" s="26" t="inlineStr">
        <is>
          <t>FY2025 XBRL revenue disaggregation: transaction revenue $98.020M (exchange $93.426M, OTC $4.013M, other $0.581M, prediction market not separately broken out), service revenue $64.639M, transaction and service plus interest income $174.093M.</t>
        </is>
      </c>
    </row>
    <row r="4">
      <c r="A4" t="inlineStr">
        <is>
          <t>src_wh_volumes</t>
        </is>
      </c>
      <c r="B4" t="inlineStr">
        <is>
          <t>warehouse</t>
        </is>
      </c>
      <c r="C4" t="inlineStr"/>
      <c r="D4" s="26" t="inlineStr">
        <is>
          <t>GEMI quarterly trading volume 2025: Q1 institutional $11.7B + retail $1.8B, Q2 $9.8B + $1.5B, Q3 $14.6B + ~$1.8B, Q4 $9.9B + $1.6B = $52.7B FY2025. Q3 and Q4 reconcile exactly to the $16.4B and $11.5B totals reported by the company.</t>
        </is>
      </c>
    </row>
    <row r="5">
      <c r="A5" t="inlineStr">
        <is>
          <t>src_wh_mtu</t>
        </is>
      </c>
      <c r="B5" t="inlineStr">
        <is>
          <t>warehouse</t>
        </is>
      </c>
      <c r="C5" t="inlineStr"/>
      <c r="D5" s="26" t="inlineStr">
        <is>
          <t>GEMI monthly_transacting_users: Q1 2025 502k, Q2 523k, Q3 587k, Q4 601k; Q1 2026 589k.</t>
        </is>
      </c>
    </row>
    <row r="6">
      <c r="A6" t="inlineStr">
        <is>
          <t>src_wh_pred_tape</t>
        </is>
      </c>
      <c r="B6" t="inlineStr">
        <is>
          <t>warehouse</t>
        </is>
      </c>
      <c r="C6" t="inlineStr"/>
      <c r="D6" s="26" t="inlineStr">
        <is>
          <t>RESULTS.EZ_METRICS.ez_gemini_predictions_metrics: 2,774,094 contracts traded 2025-12-15 to 2025-12-31; 119,336,290 in Q1 2026; 229,207,575 in Q2 2026. Contract count = $1-face USD notional.</t>
        </is>
      </c>
    </row>
    <row r="7">
      <c r="A7" t="inlineStr">
        <is>
          <t>src_10q_q1_2026</t>
        </is>
      </c>
      <c r="B7" t="inlineStr">
        <is>
          <t>10-Q</t>
        </is>
      </c>
      <c r="C7" s="27" t="inlineStr">
        <is>
          <t>https://www.sec.gov/Archives/edgar/data/2055592/000205559226000050/R50.htm</t>
        </is>
      </c>
      <c r="D7" s="26" t="inlineStr">
        <is>
          <t>Transaction revenue - prediction market revenue: $444,000 for Q1 2026; exchange $17.2M; OTC $6.325M; service revenue $21.815M; total revenue $50.272M; operating expenses $144.460M.</t>
        </is>
      </c>
    </row>
    <row r="8">
      <c r="A8" t="inlineStr">
        <is>
          <t>src_wh_comps</t>
        </is>
      </c>
      <c r="B8" t="inlineStr">
        <is>
          <t>warehouse</t>
        </is>
      </c>
      <c r="C8" t="inlineStr"/>
      <c r="D8" s="26" t="inlineStr">
        <is>
          <t>Prediction venue fees over volume: Kalshi Q1 2026 $394.7M/$33.0B = 119.5 bps, Q2 2026 $671.0M/$65.7B = 102.1 bps; Polymarket Q1 5.8 bps, Q2 44.5 bps. Days 1-15 Gemini share of three-venue notional: 36.35 bps May, 20.46 bps June, 9.29 bps July.</t>
        </is>
      </c>
    </row>
    <row r="9">
      <c r="A9" t="inlineStr">
        <is>
          <t>src_cex_tape</t>
        </is>
      </c>
      <c r="B9" t="inlineStr">
        <is>
          <t>warehouse</t>
        </is>
      </c>
      <c r="C9" t="inlineStr"/>
      <c r="D9" s="26" t="inlineStr">
        <is>
          <t>PC_DBT_DB.PROD.fact_centralized_exchange_ohlcv_cleaned, gemini quote volume: Q4 2025 $10.52B, Q1 2026 $6.485B, Q2 2026 $4.403B, Jul 1-28 2026 $0.782B. Calibrates to reported volume at 1.09x and 0.97x in Q4 and Q1.</t>
        </is>
      </c>
    </row>
    <row r="10">
      <c r="A10" t="inlineStr">
        <is>
          <t>src_wh_consensus</t>
        </is>
      </c>
      <c r="B10" t="inlineStr">
        <is>
          <t>warehouse</t>
        </is>
      </c>
      <c r="C10" t="inlineStr"/>
      <c r="D10" s="26" t="inlineStr">
        <is>
          <t>GOLD.EQUITIES.FACT_EQUITIES_ESTIMATES, GEMI current consensus dated 2026-07-29: Q2 2026 total revenue $42.84M / EPS diluted -$0.690 / exchange $12.36M; FY2026 total revenue $193.18M / EPS -$2.897; FY2030 total revenue $394.15M / EPS -$1.775.</t>
        </is>
      </c>
    </row>
    <row r="11">
      <c r="A11" t="inlineStr">
        <is>
          <t>src_wh_price</t>
        </is>
      </c>
      <c r="B11" t="inlineStr">
        <is>
          <t>warehouse</t>
        </is>
      </c>
      <c r="C11" t="inlineStr"/>
      <c r="D11" s="26" t="inlineStr">
        <is>
          <t>GOLD.EQUITIES.GOLD_EQUITIES_PRICE_HISTORICAL_DATA: GEMI last close $4.065 on 2026-07-29.</t>
        </is>
      </c>
    </row>
  </sheetData>
  <hyperlinks>
    <hyperlink xmlns:r="http://schemas.openxmlformats.org/officeDocument/2006/relationships" ref="C3" r:id="rId1"/>
    <hyperlink xmlns:r="http://schemas.openxmlformats.org/officeDocument/2006/relationships" ref="C7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2026-07-30T00:30:33Z</dcterms:created>
  <dcterms:modified xsi:type="dcterms:W3CDTF">2026-07-30T00:30:33Z</dcterms:modified>
</cp:coreProperties>
</file>