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  <sheet name="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;[Red]($#,##0)"/>
    <numFmt numFmtId="165" formatCode="#,##0;[Red](#,##0)"/>
    <numFmt numFmtId="166" formatCode="0.0%;[Red](0.0%)"/>
    <numFmt numFmtId="167" formatCode="0.0&quot;x&quot;;[Red](0.0&quot;x&quot;)"/>
    <numFmt numFmtId="168" formatCode="0.0%;(0.0%)"/>
  </numFmts>
  <fonts count="5">
    <font>
      <name val="Calibri"/>
      <family val="2"/>
      <color theme="1"/>
      <sz val="11"/>
      <scheme val="minor"/>
    </font>
    <font>
      <b val="1"/>
    </font>
    <font>
      <i val="1"/>
    </font>
    <font>
      <b val="1"/>
      <color rgb="000000FF"/>
    </font>
    <font>
      <color rgb="000000EE"/>
      <u val="single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9">
    <border>
      <left/>
      <right/>
      <top/>
      <bottom/>
      <diagonal/>
    </border>
    <border>
      <left/>
      <right/>
      <top style="thin"/>
      <bottom/>
    </border>
    <border>
      <left/>
      <right/>
      <top/>
      <bottom style="thin"/>
    </border>
    <border>
      <left style="thin"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1" fillId="2" borderId="0" applyAlignment="1" pivotButton="0" quotePrefix="0" xfId="0">
      <alignment horizontal="right"/>
    </xf>
    <xf numFmtId="164" fontId="0" fillId="0" borderId="0" pivotButton="0" quotePrefix="0" xfId="0"/>
    <xf numFmtId="164" fontId="2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5" fontId="2" fillId="0" borderId="0" pivotButton="0" quotePrefix="0" xfId="0"/>
    <xf numFmtId="166" fontId="0" fillId="0" borderId="0" applyAlignment="1" pivotButton="0" quotePrefix="0" xfId="0">
      <alignment horizontal="right"/>
    </xf>
    <xf numFmtId="166" fontId="0" fillId="0" borderId="0" pivotButton="0" quotePrefix="0" xfId="0"/>
    <xf numFmtId="0" fontId="1" fillId="0" borderId="3" pivotButton="0" quotePrefix="0" xfId="0"/>
    <xf numFmtId="0" fontId="0" fillId="0" borderId="1" pivotButton="0" quotePrefix="0" xfId="0"/>
    <xf numFmtId="0" fontId="0" fillId="0" borderId="4" pivotButton="0" quotePrefix="0" xfId="0"/>
    <xf numFmtId="0" fontId="1" fillId="0" borderId="5" pivotButton="0" quotePrefix="0" xfId="0"/>
    <xf numFmtId="0" fontId="1" fillId="0" borderId="6" applyAlignment="1" pivotButton="0" quotePrefix="0" xfId="0">
      <alignment horizontal="right"/>
    </xf>
    <xf numFmtId="167" fontId="3" fillId="0" borderId="0" pivotButton="0" quotePrefix="0" xfId="0"/>
    <xf numFmtId="168" fontId="0" fillId="0" borderId="0" pivotButton="0" quotePrefix="0" xfId="0"/>
    <xf numFmtId="166" fontId="0" fillId="0" borderId="6" pivotButton="0" quotePrefix="0" xfId="0"/>
    <xf numFmtId="0" fontId="1" fillId="0" borderId="7" pivotButton="0" quotePrefix="0" xfId="0"/>
    <xf numFmtId="164" fontId="0" fillId="0" borderId="2" pivotButton="0" quotePrefix="0" xfId="0"/>
    <xf numFmtId="167" fontId="3" fillId="0" borderId="2" pivotButton="0" quotePrefix="0" xfId="0"/>
    <xf numFmtId="168" fontId="0" fillId="0" borderId="2" pivotButton="0" quotePrefix="0" xfId="0"/>
    <xf numFmtId="166" fontId="0" fillId="0" borderId="8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2055592/000205559226000026/R60.htm" TargetMode="External" Id="rId1" /><Relationship Type="http://schemas.openxmlformats.org/officeDocument/2006/relationships/hyperlink" Target="https://www.sec.gov/Archives/edgar/data/2055592/000205559226000050/R50.htm" TargetMode="External" Id="rId2" /><Relationship Type="http://schemas.openxmlformats.org/officeDocument/2006/relationships/hyperlink" Target="https://investor.coinbase.com/news/news-details/2026/Coinbase-Q2-Earnings-Everything-Exchange-Drives-3rd-Consecutive-Quarter-of-Record-Crypto-Trading-Volume-Market-Share-Revenue-Diversification-and-Resilience/default.aspx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  <col width="22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Gemini Space Station, Inc. (GEMI) — $4.065 USD</t>
        </is>
      </c>
    </row>
    <row r="3">
      <c r="B3" s="2" t="inlineStr">
        <is>
          <t>2023</t>
        </is>
      </c>
      <c r="C3" s="2" t="inlineStr">
        <is>
          <t>2024</t>
        </is>
      </c>
      <c r="D3" s="2" t="inlineStr">
        <is>
          <t>2025</t>
        </is>
      </c>
      <c r="E3" s="3" t="inlineStr">
        <is>
          <t>2026</t>
        </is>
      </c>
      <c r="F3" s="3" t="inlineStr">
        <is>
          <t>2027</t>
        </is>
      </c>
      <c r="G3" s="3" t="inlineStr">
        <is>
          <t>2028</t>
        </is>
      </c>
      <c r="H3" s="3" t="inlineStr">
        <is>
          <t>2029</t>
        </is>
      </c>
      <c r="I3" s="3" t="inlineStr">
        <is>
          <t>2030</t>
        </is>
      </c>
      <c r="L3" s="2" t="inlineStr">
        <is>
          <t>2023</t>
        </is>
      </c>
      <c r="M3" s="2" t="inlineStr">
        <is>
          <t>2024</t>
        </is>
      </c>
      <c r="N3" s="2" t="inlineStr">
        <is>
          <t>2025</t>
        </is>
      </c>
      <c r="O3" s="3" t="inlineStr">
        <is>
          <t>2026</t>
        </is>
      </c>
      <c r="P3" s="3" t="inlineStr">
        <is>
          <t>2027</t>
        </is>
      </c>
      <c r="Q3" s="3" t="inlineStr">
        <is>
          <t>2028</t>
        </is>
      </c>
      <c r="R3" s="3" t="inlineStr">
        <is>
          <t>2029</t>
        </is>
      </c>
      <c r="S3" s="3" t="inlineStr">
        <is>
          <t>2030</t>
        </is>
      </c>
    </row>
    <row r="4">
      <c r="A4" s="1" t="inlineStr">
        <is>
          <t>Exchange Volume</t>
        </is>
      </c>
      <c r="B4" s="4" t="n"/>
      <c r="C4" s="4" t="n"/>
      <c r="D4" s="4" t="n">
        <v>52700</v>
      </c>
      <c r="E4" s="5" t="n">
        <v>16650</v>
      </c>
      <c r="F4" s="5" t="n">
        <v>21000</v>
      </c>
      <c r="G4" s="5" t="n">
        <v>26000</v>
      </c>
      <c r="H4" s="5" t="n">
        <v>29500</v>
      </c>
      <c r="I4" s="5" t="n">
        <v>33000</v>
      </c>
      <c r="K4" s="1" t="inlineStr">
        <is>
          <t>Market Cap</t>
        </is>
      </c>
      <c r="L4" s="4" t="n"/>
      <c r="M4" s="4" t="n"/>
      <c r="N4" s="4" t="n"/>
      <c r="O4" s="5" t="n">
        <v>513</v>
      </c>
      <c r="P4" s="5" t="n">
        <v>513</v>
      </c>
      <c r="Q4" s="5" t="n">
        <v>513</v>
      </c>
      <c r="R4" s="5" t="n">
        <v>513</v>
      </c>
      <c r="S4" s="5" t="n">
        <v>513</v>
      </c>
    </row>
    <row r="5">
      <c r="A5" t="inlineStr">
        <is>
          <t xml:space="preserve">  Exchange Take Rate</t>
        </is>
      </c>
      <c r="B5" s="6">
        <f>10000*B11/B4</f>
        <v/>
      </c>
      <c r="C5" s="6">
        <f>10000*C11/C4</f>
        <v/>
      </c>
      <c r="D5" s="6">
        <f>10000*D11/D4</f>
        <v/>
      </c>
      <c r="E5" s="6">
        <f>10000*E11/E4</f>
        <v/>
      </c>
      <c r="F5" s="6">
        <f>10000*F11/F4</f>
        <v/>
      </c>
      <c r="G5" s="6">
        <f>10000*G11/G4</f>
        <v/>
      </c>
      <c r="H5" s="6">
        <f>10000*H11/H4</f>
        <v/>
      </c>
      <c r="I5" s="6">
        <f>10000*I11/I4</f>
        <v/>
      </c>
      <c r="K5" s="1" t="inlineStr">
        <is>
          <t>Net Cash</t>
        </is>
      </c>
      <c r="L5" s="4" t="n"/>
      <c r="M5" s="4" t="n"/>
      <c r="N5" s="4" t="n"/>
      <c r="O5" s="5" t="n">
        <v>-252.8</v>
      </c>
      <c r="P5" s="5" t="n">
        <v>-252.8</v>
      </c>
      <c r="Q5" s="5" t="n">
        <v>-252.8</v>
      </c>
      <c r="R5" s="5" t="n">
        <v>-252.8</v>
      </c>
      <c r="S5" s="5" t="n">
        <v>-252.8</v>
      </c>
    </row>
    <row r="6">
      <c r="A6" s="1" t="inlineStr">
        <is>
          <t>Prediction Notional</t>
        </is>
      </c>
      <c r="B6" s="4" t="n"/>
      <c r="C6" s="4" t="n"/>
      <c r="D6" s="4" t="n">
        <v>2.774</v>
      </c>
      <c r="E6" s="5" t="n">
        <v>737</v>
      </c>
      <c r="F6" s="5" t="n">
        <v>950</v>
      </c>
      <c r="G6" s="5" t="n">
        <v>1300</v>
      </c>
      <c r="H6" s="5" t="n">
        <v>1650</v>
      </c>
      <c r="I6" s="5" t="n">
        <v>2000</v>
      </c>
      <c r="K6" s="1" t="inlineStr">
        <is>
          <t>EV</t>
        </is>
      </c>
      <c r="L6" s="4">
        <f>L4-L5</f>
        <v/>
      </c>
      <c r="M6" s="4">
        <f>M4-M5</f>
        <v/>
      </c>
      <c r="N6" s="4">
        <f>N4-N5</f>
        <v/>
      </c>
      <c r="O6" s="4">
        <f>O4-O5</f>
        <v/>
      </c>
      <c r="P6" s="4">
        <f>P4-P5</f>
        <v/>
      </c>
      <c r="Q6" s="4">
        <f>Q4-Q5</f>
        <v/>
      </c>
      <c r="R6" s="4">
        <f>R4-R5</f>
        <v/>
      </c>
      <c r="S6" s="4">
        <f>S4-S5</f>
        <v/>
      </c>
    </row>
    <row r="7">
      <c r="A7" t="inlineStr">
        <is>
          <t xml:space="preserve">  Prediction Take Rate</t>
        </is>
      </c>
      <c r="B7" s="6">
        <f>10000*B13/B6</f>
        <v/>
      </c>
      <c r="C7" s="6">
        <f>10000*C13/C6</f>
        <v/>
      </c>
      <c r="D7" s="6">
        <f>10000*D13/D6</f>
        <v/>
      </c>
      <c r="E7" s="6">
        <f>10000*E13/E6</f>
        <v/>
      </c>
      <c r="F7" s="6">
        <f>10000*F13/F6</f>
        <v/>
      </c>
      <c r="G7" s="6">
        <f>10000*G13/G6</f>
        <v/>
      </c>
      <c r="H7" s="6">
        <f>10000*H13/H6</f>
        <v/>
      </c>
      <c r="I7" s="6">
        <f>10000*I13/I6</f>
        <v/>
      </c>
      <c r="K7" t="inlineStr">
        <is>
          <t xml:space="preserve">  EV / Sales</t>
        </is>
      </c>
      <c r="L7" s="7">
        <f>L6/B18</f>
        <v/>
      </c>
      <c r="M7" s="7">
        <f>M6/C18</f>
        <v/>
      </c>
      <c r="N7" s="7">
        <f>N6/D18</f>
        <v/>
      </c>
      <c r="O7" s="7">
        <f>O6/E18</f>
        <v/>
      </c>
      <c r="P7" s="7">
        <f>P6/F18</f>
        <v/>
      </c>
      <c r="Q7" s="7">
        <f>Q6/G18</f>
        <v/>
      </c>
      <c r="R7" s="7">
        <f>R6/H18</f>
        <v/>
      </c>
      <c r="S7" s="7">
        <f>S6/I18</f>
        <v/>
      </c>
    </row>
    <row r="8">
      <c r="A8" s="1" t="inlineStr">
        <is>
          <t>Card Volume</t>
        </is>
      </c>
      <c r="B8" s="4" t="n"/>
      <c r="C8" s="4" t="n"/>
      <c r="D8" s="4" t="n"/>
      <c r="E8" s="5" t="n">
        <v>4300</v>
      </c>
      <c r="F8" s="5" t="n">
        <v>5500</v>
      </c>
      <c r="G8" s="5" t="n">
        <v>6800</v>
      </c>
      <c r="H8" s="5" t="n">
        <v>8000</v>
      </c>
      <c r="I8" s="5" t="n">
        <v>9200</v>
      </c>
    </row>
    <row r="9">
      <c r="A9" s="1" t="inlineStr">
        <is>
          <t>Monthly Transacting Users</t>
        </is>
      </c>
      <c r="B9" s="6" t="n"/>
      <c r="C9" s="6" t="n"/>
      <c r="D9" s="6" t="n">
        <v>601</v>
      </c>
      <c r="E9" s="8" t="n">
        <v>600</v>
      </c>
      <c r="F9" s="8" t="n">
        <v>650</v>
      </c>
      <c r="G9" s="8" t="n">
        <v>715</v>
      </c>
      <c r="H9" s="8" t="n">
        <v>780</v>
      </c>
      <c r="I9" s="8" t="n">
        <v>845</v>
      </c>
    </row>
    <row r="11">
      <c r="A11" s="1" t="inlineStr">
        <is>
          <t>Exchange Revenue</t>
        </is>
      </c>
      <c r="B11" s="4" t="n"/>
      <c r="C11" s="4" t="n"/>
      <c r="D11" s="4" t="n">
        <v>93.426</v>
      </c>
      <c r="E11" s="5" t="n">
        <v>47.4</v>
      </c>
      <c r="F11" s="5" t="n">
        <v>56.7</v>
      </c>
      <c r="G11" s="5" t="n">
        <v>67.59999999999999</v>
      </c>
      <c r="H11" s="5" t="n">
        <v>73.8</v>
      </c>
      <c r="I11" s="5" t="n">
        <v>79.2</v>
      </c>
    </row>
    <row r="12">
      <c r="A12" s="1" t="inlineStr">
        <is>
          <t>OTC Revenue</t>
        </is>
      </c>
      <c r="B12" s="4" t="n"/>
      <c r="C12" s="4" t="n"/>
      <c r="D12" s="4" t="n">
        <v>4.013</v>
      </c>
      <c r="E12" s="5" t="n">
        <v>17.6</v>
      </c>
      <c r="F12" s="5" t="n">
        <v>18</v>
      </c>
      <c r="G12" s="5" t="n">
        <v>21</v>
      </c>
      <c r="H12" s="5" t="n">
        <v>24</v>
      </c>
      <c r="I12" s="5" t="n">
        <v>27</v>
      </c>
    </row>
    <row r="13">
      <c r="A13" s="1" t="inlineStr">
        <is>
          <t>Prediction Revenue</t>
        </is>
      </c>
      <c r="B13" s="4" t="n"/>
      <c r="C13" s="4" t="n"/>
      <c r="D13" s="4" t="n">
        <v>0</v>
      </c>
      <c r="E13" s="5" t="n">
        <v>2.4</v>
      </c>
      <c r="F13" s="5" t="n">
        <v>2.9</v>
      </c>
      <c r="G13" s="5" t="n">
        <v>3.8</v>
      </c>
      <c r="H13" s="5" t="n">
        <v>4.6</v>
      </c>
      <c r="I13" s="5" t="n">
        <v>5.4</v>
      </c>
    </row>
    <row r="14">
      <c r="A14" s="1" t="inlineStr">
        <is>
          <t>Other Txn Revenue</t>
        </is>
      </c>
      <c r="B14" s="4" t="n"/>
      <c r="C14" s="4" t="n"/>
      <c r="D14" s="4" t="n">
        <v>0.581</v>
      </c>
      <c r="E14" s="5" t="n">
        <v>0.8</v>
      </c>
      <c r="F14" s="5" t="n">
        <v>0.9</v>
      </c>
      <c r="G14" s="5" t="n">
        <v>1</v>
      </c>
      <c r="H14" s="5" t="n">
        <v>1.1</v>
      </c>
      <c r="I14" s="5" t="n">
        <v>1.2</v>
      </c>
    </row>
    <row r="15">
      <c r="A15" s="1" t="inlineStr">
        <is>
          <t>Transaction Revenue</t>
        </is>
      </c>
      <c r="B15" s="4">
        <f>B11+B12+B13+B14</f>
        <v/>
      </c>
      <c r="C15" s="4">
        <f>C11+C12+C13+C14</f>
        <v/>
      </c>
      <c r="D15" s="4">
        <f>D11+D12+D13+D14</f>
        <v/>
      </c>
      <c r="E15" s="4">
        <f>E11+E12+E13+E14</f>
        <v/>
      </c>
      <c r="F15" s="4">
        <f>F11+F12+F13+F14</f>
        <v/>
      </c>
      <c r="G15" s="4">
        <f>G11+G12+G13+G14</f>
        <v/>
      </c>
      <c r="H15" s="4">
        <f>H11+H12+H13+H14</f>
        <v/>
      </c>
      <c r="I15" s="4">
        <f>I11+I12+I13+I14</f>
        <v/>
      </c>
    </row>
    <row r="16">
      <c r="A16" s="1" t="inlineStr">
        <is>
          <t>Service Revenue</t>
        </is>
      </c>
      <c r="B16" s="4" t="n"/>
      <c r="C16" s="4" t="n"/>
      <c r="D16" s="4" t="n">
        <v>64.639</v>
      </c>
      <c r="E16" s="5" t="n">
        <v>88.2</v>
      </c>
      <c r="F16" s="5" t="n">
        <v>102</v>
      </c>
      <c r="G16" s="5" t="n">
        <v>118</v>
      </c>
      <c r="H16" s="5" t="n">
        <v>140</v>
      </c>
      <c r="I16" s="5" t="n">
        <v>168</v>
      </c>
    </row>
    <row r="17">
      <c r="A17" s="1" t="inlineStr">
        <is>
          <t>Other Income</t>
        </is>
      </c>
      <c r="B17" s="4" t="n"/>
      <c r="C17" s="4" t="n"/>
      <c r="D17" s="4" t="n">
        <v>16.913</v>
      </c>
      <c r="E17" s="5" t="n">
        <v>17.2</v>
      </c>
      <c r="F17" s="5" t="n">
        <v>18</v>
      </c>
      <c r="G17" s="5" t="n">
        <v>21</v>
      </c>
      <c r="H17" s="5" t="n">
        <v>25</v>
      </c>
      <c r="I17" s="5" t="n">
        <v>30</v>
      </c>
    </row>
    <row r="18">
      <c r="A18" s="1" t="inlineStr">
        <is>
          <t>Sales</t>
        </is>
      </c>
      <c r="B18" s="4">
        <f>B15+B16+B17</f>
        <v/>
      </c>
      <c r="C18" s="4">
        <f>C15+C16+C17</f>
        <v/>
      </c>
      <c r="D18" s="4">
        <f>D15+D16+D17</f>
        <v/>
      </c>
      <c r="E18" s="4">
        <f>E15+E16+E17</f>
        <v/>
      </c>
      <c r="F18" s="4">
        <f>F15+F16+F17</f>
        <v/>
      </c>
      <c r="G18" s="4">
        <f>G15+G16+G17</f>
        <v/>
      </c>
      <c r="H18" s="4">
        <f>H15+H16+H17</f>
        <v/>
      </c>
      <c r="I18" s="4">
        <f>I15+I16+I17</f>
        <v/>
      </c>
    </row>
    <row r="19">
      <c r="A19" t="inlineStr">
        <is>
          <t xml:space="preserve">  Sales Y/Y</t>
        </is>
      </c>
      <c r="B19" s="9" t="inlineStr">
        <is>
          <t>—</t>
        </is>
      </c>
      <c r="C19" s="10">
        <f>(C18-B18)/B18</f>
        <v/>
      </c>
      <c r="D19" s="10">
        <f>(D18-C18)/C18</f>
        <v/>
      </c>
      <c r="E19" s="10">
        <f>(E18-D18)/D18</f>
        <v/>
      </c>
      <c r="F19" s="10">
        <f>(F18-E18)/E18</f>
        <v/>
      </c>
      <c r="G19" s="10">
        <f>(G18-F18)/F18</f>
        <v/>
      </c>
      <c r="H19" s="10">
        <f>(H18-G18)/G18</f>
        <v/>
      </c>
      <c r="I19" s="10">
        <f>(I18-H18)/H18</f>
        <v/>
      </c>
    </row>
    <row r="20">
      <c r="A20" t="inlineStr">
        <is>
          <t xml:space="preserve">  Prediction % of Sales</t>
        </is>
      </c>
      <c r="B20" s="10">
        <f>B13/B18</f>
        <v/>
      </c>
      <c r="C20" s="10">
        <f>C13/C18</f>
        <v/>
      </c>
      <c r="D20" s="10">
        <f>D13/D18</f>
        <v/>
      </c>
      <c r="E20" s="10">
        <f>E13/E18</f>
        <v/>
      </c>
      <c r="F20" s="10">
        <f>F13/F18</f>
        <v/>
      </c>
      <c r="G20" s="10">
        <f>G13/G18</f>
        <v/>
      </c>
      <c r="H20" s="10">
        <f>H13/H18</f>
        <v/>
      </c>
      <c r="I20" s="10">
        <f>I13/I18</f>
        <v/>
      </c>
    </row>
    <row r="21">
      <c r="A21" s="1" t="inlineStr">
        <is>
          <t>Opex</t>
        </is>
      </c>
      <c r="B21" s="4" t="n"/>
      <c r="C21" s="4" t="n"/>
      <c r="D21" s="4" t="n">
        <v>525.228</v>
      </c>
      <c r="E21" s="5" t="n">
        <v>508</v>
      </c>
      <c r="F21" s="5" t="n">
        <v>488</v>
      </c>
      <c r="G21" s="5" t="n">
        <v>480</v>
      </c>
      <c r="H21" s="5" t="n">
        <v>483</v>
      </c>
      <c r="I21" s="5" t="n">
        <v>488</v>
      </c>
    </row>
    <row r="22">
      <c r="A22" t="inlineStr">
        <is>
          <t xml:space="preserve">  Opex %</t>
        </is>
      </c>
      <c r="B22" s="10">
        <f>B21/B18</f>
        <v/>
      </c>
      <c r="C22" s="10">
        <f>C21/C18</f>
        <v/>
      </c>
      <c r="D22" s="10">
        <f>D21/D18</f>
        <v/>
      </c>
      <c r="E22" s="10">
        <f>E21/E18</f>
        <v/>
      </c>
      <c r="F22" s="10">
        <f>F21/F18</f>
        <v/>
      </c>
      <c r="G22" s="10">
        <f>G21/G18</f>
        <v/>
      </c>
      <c r="H22" s="10">
        <f>H21/H18</f>
        <v/>
      </c>
      <c r="I22" s="10">
        <f>I21/I18</f>
        <v/>
      </c>
    </row>
    <row r="23">
      <c r="A23" s="1" t="inlineStr">
        <is>
          <t>Operating Income</t>
        </is>
      </c>
      <c r="B23" s="4">
        <f>B18-B21</f>
        <v/>
      </c>
      <c r="C23" s="4">
        <f>C18-C21</f>
        <v/>
      </c>
      <c r="D23" s="4">
        <f>D18-D21</f>
        <v/>
      </c>
      <c r="E23" s="4">
        <f>E18-E21</f>
        <v/>
      </c>
      <c r="F23" s="4">
        <f>F18-F21</f>
        <v/>
      </c>
      <c r="G23" s="4">
        <f>G18-G21</f>
        <v/>
      </c>
      <c r="H23" s="4">
        <f>H18-H21</f>
        <v/>
      </c>
      <c r="I23" s="4">
        <f>I18-I21</f>
        <v/>
      </c>
    </row>
    <row r="24">
      <c r="A24" t="inlineStr">
        <is>
          <t xml:space="preserve">  Operating Margin</t>
        </is>
      </c>
      <c r="B24" s="10">
        <f>B23/B18</f>
        <v/>
      </c>
      <c r="C24" s="10">
        <f>C23/C18</f>
        <v/>
      </c>
      <c r="D24" s="10">
        <f>D23/D18</f>
        <v/>
      </c>
      <c r="E24" s="10">
        <f>E23/E18</f>
        <v/>
      </c>
      <c r="F24" s="10">
        <f>F23/F18</f>
        <v/>
      </c>
      <c r="G24" s="10">
        <f>G23/G18</f>
        <v/>
      </c>
      <c r="H24" s="10">
        <f>H23/H18</f>
        <v/>
      </c>
      <c r="I24" s="10">
        <f>I23/I18</f>
        <v/>
      </c>
    </row>
    <row r="25">
      <c r="A25" s="1" t="inlineStr">
        <is>
          <t>Depreciation</t>
        </is>
      </c>
      <c r="B25" s="4" t="n"/>
      <c r="C25" s="4" t="n"/>
      <c r="D25" s="4" t="n">
        <v>30.723</v>
      </c>
      <c r="E25" s="5" t="n">
        <v>30</v>
      </c>
      <c r="F25" s="5" t="n">
        <v>32</v>
      </c>
      <c r="G25" s="5" t="n">
        <v>33</v>
      </c>
      <c r="H25" s="5" t="n">
        <v>34</v>
      </c>
      <c r="I25" s="5" t="n">
        <v>35</v>
      </c>
    </row>
    <row r="26">
      <c r="A26" s="1" t="inlineStr">
        <is>
          <t>EBITDA</t>
        </is>
      </c>
      <c r="B26" s="4">
        <f>B23+B25</f>
        <v/>
      </c>
      <c r="C26" s="4">
        <f>C23+C25</f>
        <v/>
      </c>
      <c r="D26" s="4">
        <f>D23+D25</f>
        <v/>
      </c>
      <c r="E26" s="4">
        <f>E23+E25</f>
        <v/>
      </c>
      <c r="F26" s="4">
        <f>F23+F25</f>
        <v/>
      </c>
      <c r="G26" s="4">
        <f>G23+G25</f>
        <v/>
      </c>
      <c r="H26" s="4">
        <f>H23+H25</f>
        <v/>
      </c>
      <c r="I26" s="4">
        <f>I23+I25</f>
        <v/>
      </c>
    </row>
    <row r="27">
      <c r="A27" s="1" t="inlineStr">
        <is>
          <t>SBC</t>
        </is>
      </c>
      <c r="B27" s="4" t="n"/>
      <c r="C27" s="4" t="n"/>
      <c r="D27" s="4" t="n">
        <v>84.956</v>
      </c>
      <c r="E27" s="5" t="n">
        <v>88</v>
      </c>
      <c r="F27" s="5" t="n">
        <v>85</v>
      </c>
      <c r="G27" s="5" t="n">
        <v>82</v>
      </c>
      <c r="H27" s="5" t="n">
        <v>80</v>
      </c>
      <c r="I27" s="5" t="n">
        <v>78</v>
      </c>
    </row>
    <row r="28">
      <c r="A28" t="inlineStr">
        <is>
          <t xml:space="preserve">  EBITDA ex SBC</t>
        </is>
      </c>
      <c r="B28" s="4">
        <f>B23+B25+B27</f>
        <v/>
      </c>
      <c r="C28" s="4">
        <f>C23+C25+C27</f>
        <v/>
      </c>
      <c r="D28" s="4">
        <f>D23+D25+D27</f>
        <v/>
      </c>
      <c r="E28" s="4">
        <f>E23+E25+E27</f>
        <v/>
      </c>
      <c r="F28" s="4">
        <f>F23+F25+F27</f>
        <v/>
      </c>
      <c r="G28" s="4">
        <f>G23+G25+G27</f>
        <v/>
      </c>
      <c r="H28" s="4">
        <f>H23+H25+H27</f>
        <v/>
      </c>
      <c r="I28" s="4">
        <f>I23+I25+I27</f>
        <v/>
      </c>
    </row>
    <row r="29">
      <c r="A29" s="1" t="inlineStr">
        <is>
          <t>Net Income</t>
        </is>
      </c>
      <c r="B29" s="4" t="n"/>
      <c r="C29" s="4" t="n"/>
      <c r="D29" s="4" t="n">
        <v>-582.813</v>
      </c>
      <c r="E29" s="5" t="n">
        <v>-367</v>
      </c>
      <c r="F29" s="5" t="n">
        <v>-315</v>
      </c>
      <c r="G29" s="5" t="n">
        <v>-273</v>
      </c>
      <c r="H29" s="5" t="n">
        <v>-240</v>
      </c>
      <c r="I29" s="5" t="n">
        <v>-202</v>
      </c>
    </row>
    <row r="30">
      <c r="A30" s="1" t="inlineStr">
        <is>
          <t>Diluted Shares</t>
        </is>
      </c>
      <c r="B30" s="6" t="n"/>
      <c r="C30" s="6" t="n"/>
      <c r="D30" s="6" t="n">
        <v>37.552</v>
      </c>
      <c r="E30" s="8" t="n">
        <v>123.6</v>
      </c>
      <c r="F30" s="8" t="n">
        <v>128</v>
      </c>
      <c r="G30" s="8" t="n">
        <v>131</v>
      </c>
      <c r="H30" s="8" t="n">
        <v>134</v>
      </c>
      <c r="I30" s="8" t="n">
        <v>137</v>
      </c>
    </row>
    <row r="31">
      <c r="A31" s="1" t="inlineStr">
        <is>
          <t>EPS</t>
        </is>
      </c>
      <c r="B31" s="6" t="n"/>
      <c r="C31" s="6" t="n"/>
      <c r="D31" s="6" t="n">
        <v>-15.52</v>
      </c>
      <c r="E31" s="8" t="n">
        <v>-2.97</v>
      </c>
      <c r="F31" s="8" t="n">
        <v>-2.46</v>
      </c>
      <c r="G31" s="8" t="n">
        <v>-2.08</v>
      </c>
      <c r="H31" s="8" t="n">
        <v>-1.79</v>
      </c>
      <c r="I31" s="8" t="n">
        <v>-1.47</v>
      </c>
    </row>
    <row r="34">
      <c r="K34" s="11" t="inlineStr">
        <is>
          <t>Scenarios — Revenue (EV / Sales)</t>
        </is>
      </c>
      <c r="L34" s="12" t="n"/>
      <c r="M34" s="12" t="n"/>
      <c r="N34" s="12" t="n"/>
      <c r="O34" s="12" t="n"/>
      <c r="P34" s="13" t="n"/>
    </row>
    <row r="35">
      <c r="K35" s="14" t="inlineStr">
        <is>
          <t>Scenario</t>
        </is>
      </c>
      <c r="L35" s="2" t="inlineStr">
        <is>
          <t>2030 Value</t>
        </is>
      </c>
      <c r="M35" s="2" t="inlineStr">
        <is>
          <t>Multiple</t>
        </is>
      </c>
      <c r="N35" s="2" t="inlineStr">
        <is>
          <t>Implied EV</t>
        </is>
      </c>
      <c r="O35" s="2" t="inlineStr">
        <is>
          <t>Ups/Downs</t>
        </is>
      </c>
      <c r="P35" s="15" t="inlineStr">
        <is>
          <t>CAGR</t>
        </is>
      </c>
    </row>
    <row r="36">
      <c r="K36" s="14" t="inlineStr">
        <is>
          <t>Bull</t>
        </is>
      </c>
      <c r="L36" s="4" t="n">
        <v>430</v>
      </c>
      <c r="M36" s="16" t="n">
        <v>4.5</v>
      </c>
      <c r="N36" s="4">
        <f>L36*M36</f>
        <v/>
      </c>
      <c r="O36" s="17">
        <f>(N36/N6)-1</f>
        <v/>
      </c>
      <c r="P36" s="18">
        <f>(L36/D18)^(1/5)-1</f>
        <v/>
      </c>
    </row>
    <row r="37">
      <c r="K37" s="14" t="inlineStr">
        <is>
          <t>Base</t>
        </is>
      </c>
      <c r="L37" s="4" t="n">
        <v>311</v>
      </c>
      <c r="M37" s="16" t="n">
        <v>3</v>
      </c>
      <c r="N37" s="4">
        <f>L37*M37</f>
        <v/>
      </c>
      <c r="O37" s="17">
        <f>(N37/N6)-1</f>
        <v/>
      </c>
      <c r="P37" s="18">
        <f>(L37/D18)^(1/5)-1</f>
        <v/>
      </c>
    </row>
    <row r="38">
      <c r="K38" s="19" t="inlineStr">
        <is>
          <t>Bear</t>
        </is>
      </c>
      <c r="L38" s="20" t="n">
        <v>200</v>
      </c>
      <c r="M38" s="21" t="n">
        <v>1.75</v>
      </c>
      <c r="N38" s="20">
        <f>L38*M38</f>
        <v/>
      </c>
      <c r="O38" s="22">
        <f>(N38/N6)-1</f>
        <v/>
      </c>
      <c r="P38" s="23">
        <f>(L38/D18)^(1/5)-1</f>
        <v/>
      </c>
    </row>
    <row r="41">
      <c r="K41" s="11" t="inlineStr">
        <is>
          <t>Scenarios — EPS (P / E)</t>
        </is>
      </c>
      <c r="L41" s="12" t="n"/>
      <c r="M41" s="12" t="n"/>
      <c r="N41" s="12" t="n"/>
      <c r="O41" s="12" t="n"/>
      <c r="P41" s="13" t="n"/>
    </row>
    <row r="42">
      <c r="K42" s="14" t="inlineStr">
        <is>
          <t>Scenario</t>
        </is>
      </c>
      <c r="L42" s="2" t="inlineStr">
        <is>
          <t>2030 Value</t>
        </is>
      </c>
      <c r="M42" s="2" t="inlineStr">
        <is>
          <t>Multiple</t>
        </is>
      </c>
      <c r="N42" s="2" t="inlineStr">
        <is>
          <t>Implied Price</t>
        </is>
      </c>
      <c r="O42" s="2" t="inlineStr">
        <is>
          <t>Ups/Downs</t>
        </is>
      </c>
      <c r="P42" s="15" t="inlineStr">
        <is>
          <t>CAGR</t>
        </is>
      </c>
    </row>
    <row r="43">
      <c r="K43" s="14" t="inlineStr">
        <is>
          <t>Bull</t>
        </is>
      </c>
      <c r="L43" s="4" t="n">
        <v>0.25</v>
      </c>
      <c r="M43" s="16" t="n">
        <v>35</v>
      </c>
      <c r="N43" s="4">
        <f>L43*M43</f>
        <v/>
      </c>
      <c r="O43" s="17">
        <f>(N43/4.065)-1</f>
        <v/>
      </c>
      <c r="P43" s="18">
        <f>(L43/D31)^(1/5)-1</f>
        <v/>
      </c>
    </row>
    <row r="44">
      <c r="K44" s="14" t="inlineStr">
        <is>
          <t>Base</t>
        </is>
      </c>
      <c r="L44" s="4" t="n">
        <v>-1.47</v>
      </c>
      <c r="M44" s="16" t="n">
        <v>0</v>
      </c>
      <c r="N44" s="4">
        <f>L44*M44</f>
        <v/>
      </c>
      <c r="O44" s="17">
        <f>(N44/4.065)-1</f>
        <v/>
      </c>
      <c r="P44" s="18">
        <f>(L44/D31)^(1/5)-1</f>
        <v/>
      </c>
    </row>
    <row r="45">
      <c r="K45" s="19" t="inlineStr">
        <is>
          <t>Bear</t>
        </is>
      </c>
      <c r="L45" s="20" t="n">
        <v>-2.75</v>
      </c>
      <c r="M45" s="21" t="n">
        <v>0</v>
      </c>
      <c r="N45" s="20">
        <f>L45*M45</f>
        <v/>
      </c>
      <c r="O45" s="22">
        <f>(N45/4.065)-1</f>
        <v/>
      </c>
      <c r="P45" s="23">
        <f>(L45/D31)^(1/5)-1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50" customWidth="1" min="3" max="3"/>
    <col width="70" customWidth="1" min="4" max="4"/>
  </cols>
  <sheetData>
    <row r="1">
      <c r="A1" s="1" t="inlineStr">
        <is>
          <t>id</t>
        </is>
      </c>
      <c r="B1" s="1" t="inlineStr">
        <is>
          <t>kind</t>
        </is>
      </c>
      <c r="C1" s="1" t="inlineStr">
        <is>
          <t>url</t>
        </is>
      </c>
      <c r="D1" s="1" t="inlineStr">
        <is>
          <t>excerpt</t>
        </is>
      </c>
    </row>
    <row r="2">
      <c r="A2" t="inlineStr">
        <is>
          <t>src_wh_fy2025_pl</t>
        </is>
      </c>
      <c r="B2" t="inlineStr">
        <is>
          <t>warehouse</t>
        </is>
      </c>
      <c r="C2" t="inlineStr"/>
      <c r="D2" s="24" t="inlineStr">
        <is>
          <t>GEMI FY2025 actuals: total_revenue $179.572M, operating_expenses $525.228M, operating_income -$345.656M, net_income -$582.813M, diluted_eps -$15.52, diluted_shares 37.552M, D&amp;A $30.723M, SBC $84.956M, investment_income_interest $11.434M, FCF -$220.088M.</t>
        </is>
      </c>
    </row>
    <row r="3">
      <c r="A3" t="inlineStr">
        <is>
          <t>src_wh_fy2025_segments</t>
        </is>
      </c>
      <c r="B3" t="inlineStr">
        <is>
          <t>10-K</t>
        </is>
      </c>
      <c r="C3" s="25" t="inlineStr">
        <is>
          <t>https://www.sec.gov/Archives/edgar/data/2055592/000205559226000026/R60.htm</t>
        </is>
      </c>
      <c r="D3" s="24" t="inlineStr">
        <is>
          <t>FY2025 revenue disaggregation: transaction revenue $98.020M (exchange $93.426M, OTC $4.013M, other $0.581M, prediction market not separately broken out), service revenue $64.639M, transaction and service plus interest income $174.093M.</t>
        </is>
      </c>
    </row>
    <row r="4">
      <c r="A4" t="inlineStr">
        <is>
          <t>src_wh_volumes</t>
        </is>
      </c>
      <c r="B4" t="inlineStr">
        <is>
          <t>warehouse</t>
        </is>
      </c>
      <c r="C4" t="inlineStr"/>
      <c r="D4" s="24" t="inlineStr">
        <is>
          <t>GEMI quarterly trading volume 2025: Q1 institutional $11.7B + retail $1.8B, Q2 $9.8B + $1.5B, Q3 $14.6B + ~$1.8B, Q4 $9.9B + $1.6B = $52.7B FY2025. Q3 and Q4 reconcile exactly to the $16.4B and $11.5B company-reported totals.</t>
        </is>
      </c>
    </row>
    <row r="5">
      <c r="A5" t="inlineStr">
        <is>
          <t>src_wh_mtu</t>
        </is>
      </c>
      <c r="B5" t="inlineStr">
        <is>
          <t>warehouse</t>
        </is>
      </c>
      <c r="C5" t="inlineStr"/>
      <c r="D5" s="24" t="inlineStr">
        <is>
          <t>GEMI monthly_transacting_users: Q1 2025 502k, Q2 523k, Q3 587k, Q4 601k; Q1 2026 589k.</t>
        </is>
      </c>
    </row>
    <row r="6">
      <c r="A6" t="inlineStr">
        <is>
          <t>src_wh_pred_tape</t>
        </is>
      </c>
      <c r="B6" t="inlineStr">
        <is>
          <t>warehouse</t>
        </is>
      </c>
      <c r="C6" t="inlineStr"/>
      <c r="D6" s="24" t="inlineStr">
        <is>
          <t>ez_gemini_predictions_metrics: 2,774,094 contracts 2025-12-15 to 2025-12-31; 119,336,290 Q1 2026; 229,207,575 Q2 2026. July 1-15 27,212,006 ($1.94M/day vs June $3.08M/day).</t>
        </is>
      </c>
    </row>
    <row r="7">
      <c r="A7" t="inlineStr">
        <is>
          <t>src_10q_q1_2026</t>
        </is>
      </c>
      <c r="B7" t="inlineStr">
        <is>
          <t>10-Q</t>
        </is>
      </c>
      <c r="C7" s="25" t="inlineStr">
        <is>
          <t>https://www.sec.gov/Archives/edgar/data/2055592/000205559226000050/R50.htm</t>
        </is>
      </c>
      <c r="D7" s="24" t="inlineStr">
        <is>
          <t>Transaction revenue - prediction market revenue: $444,000 Q1 2026; exchange $17.2M; OTC $6.325M; service revenue $21.815M; total revenue $50.272M; operating expenses $144.460M.</t>
        </is>
      </c>
    </row>
    <row r="8">
      <c r="A8" t="inlineStr">
        <is>
          <t>src_hood_q2_2026</t>
        </is>
      </c>
      <c r="B8" t="inlineStr">
        <is>
          <t>warehouse</t>
        </is>
      </c>
      <c r="C8" t="inlineStr"/>
      <c r="D8" s="24" t="inlineStr">
        <is>
          <t>HOOD Q2 2026 actuals: crypto_notional_trading_volumes $40.4B (App $18.3B, Bitstamp $22.1B), crypto_revenue $100M (-25% QoQ, -38% YoY), App crypto revenue $94M vs Bitstamp $6M, event_contracts_traded 13.6B, event_contracts_revenue $156M (+50% QoQ), total_revenue $1,308M.</t>
        </is>
      </c>
    </row>
    <row r="9">
      <c r="A9" t="inlineStr">
        <is>
          <t>src_coin_q2_2026</t>
        </is>
      </c>
      <c r="B9" t="inlineStr">
        <is>
          <t>press_release</t>
        </is>
      </c>
      <c r="C9" s="25" t="inlineStr">
        <is>
          <t>https://investor.coinbase.com/news/news-details/2026/Coinbase-Q2-Earnings-Everything-Exchange-Drives-3rd-Consecutive-Quarter-of-Record-Crypto-Trading-Volume-Market-Share-Revenue-Diversification-and-Resilience/default.aspx</t>
        </is>
      </c>
      <c r="D9" s="24" t="inlineStr">
        <is>
          <t>Coinbase Q2 2026: revenue $1.22B (-14% QoQ), transaction revenue $599M (-21% QoQ), subscription and services $555M (48% of net revenue), net loss $359.5M / -$1.36 EPS, Crypto Trading Volume Market Share 10.3% (ATH, from 9.1%), prediction markets contracts and revenue +106% QoQ crossing $100M annualized, derivatives volume $4.22T. Total market spot volume -25%. Q3 QTD transaction revenue ~$130M through 26-Jul.</t>
        </is>
      </c>
    </row>
    <row r="10">
      <c r="A10" t="inlineStr">
        <is>
          <t>src_cex_tape</t>
        </is>
      </c>
      <c r="B10" t="inlineStr">
        <is>
          <t>warehouse</t>
        </is>
      </c>
      <c r="C10" t="inlineStr"/>
      <c r="D10" s="24" t="inlineStr">
        <is>
          <t>fact_centralized_exchange_ohlcv_cleaned July 1-29 2026: gemini $0.831B (29 days, $28.7M/day vs Q2 $48.4M/day); coinbase $30.146B ($1.040B/day vs Q2 $1.577B/day).</t>
        </is>
      </c>
    </row>
    <row r="11">
      <c r="A11" t="inlineStr">
        <is>
          <t>src_wh_consensus</t>
        </is>
      </c>
      <c r="B11" t="inlineStr">
        <is>
          <t>warehouse</t>
        </is>
      </c>
      <c r="C11" t="inlineStr"/>
      <c r="D11" s="24" t="inlineStr">
        <is>
          <t>GEMI consensus dated 2026-07-29: Q2 2026 revenue $42.84M / EPS -$0.690 / exchange $12.36M; Q3 2026 revenue $46.99M; FY2026 revenue $193.18M / EPS -$2.897; FY2030 revenue $394.15M / EPS -$1.775.</t>
        </is>
      </c>
    </row>
    <row r="12">
      <c r="A12" t="inlineStr">
        <is>
          <t>src_wh_price</t>
        </is>
      </c>
      <c r="B12" t="inlineStr">
        <is>
          <t>warehouse</t>
        </is>
      </c>
      <c r="C12" t="inlineStr"/>
      <c r="D12" s="24" t="inlineStr">
        <is>
          <t>GEMI last close $4.065 on 2026-07-29.</t>
        </is>
      </c>
    </row>
  </sheetData>
  <hyperlinks>
    <hyperlink xmlns:r="http://schemas.openxmlformats.org/officeDocument/2006/relationships" ref="C3" r:id="rId1"/>
    <hyperlink xmlns:r="http://schemas.openxmlformats.org/officeDocument/2006/relationships" ref="C7" r:id="rId2"/>
    <hyperlink xmlns:r="http://schemas.openxmlformats.org/officeDocument/2006/relationships" ref="C9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2026-07-31T01:41:48Z</dcterms:created>
  <dcterms:modified xsi:type="dcterms:W3CDTF">2026-07-31T01:41:48Z</dcterms:modified>
</cp:coreProperties>
</file>